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7.xml" ContentType="application/vnd.openxmlformats-officedocument.drawing+xml"/>
  <Override PartName="/xl/slicers/slicer3.xml" ContentType="application/vnd.ms-excel.slicer+xml"/>
  <Override PartName="/xl/charts/chartEx1.xml" ContentType="application/vnd.ms-office.chartex+xml"/>
  <Override PartName="/xl/charts/style9.xml" ContentType="application/vnd.ms-office.chartstyle+xml"/>
  <Override PartName="/xl/charts/colors9.xml" ContentType="application/vnd.ms-office.chartcolorstyle+xml"/>
  <Override PartName="/xl/drawings/drawing8.xml" ContentType="application/vnd.openxmlformats-officedocument.drawing+xml"/>
  <Override PartName="/xl/slicers/slicer4.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Ex2.xml" ContentType="application/vnd.ms-office.chartex+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G:\Business analyst course by ExcelR\Projects of Excelr\Project Approach\"/>
    </mc:Choice>
  </mc:AlternateContent>
  <xr:revisionPtr revIDLastSave="0" documentId="13_ncr:1_{9BF5CAED-5663-4E51-883E-88A186C40201}" xr6:coauthVersionLast="36" xr6:coauthVersionMax="36" xr10:uidLastSave="{00000000-0000-0000-0000-000000000000}"/>
  <bookViews>
    <workbookView xWindow="0" yWindow="0" windowWidth="12588" windowHeight="6108" firstSheet="9" activeTab="13" xr2:uid="{0E795D8B-22A1-4F57-8D9B-E3B608B546DA}"/>
  </bookViews>
  <sheets>
    <sheet name="Brokerage" sheetId="2" r:id="rId1"/>
    <sheet name="Fees" sheetId="3" r:id="rId2"/>
    <sheet name="Individual Target" sheetId="4" r:id="rId3"/>
    <sheet name="Invoice" sheetId="5" r:id="rId4"/>
    <sheet name="Meeting" sheetId="6" r:id="rId5"/>
    <sheet name="Opportunity" sheetId="7" r:id="rId6"/>
    <sheet name="No of Invoice by Accnt Exec" sheetId="8" r:id="rId7"/>
    <sheet name="Opportunity Product Distirbutio" sheetId="20" r:id="rId8"/>
    <sheet name="Yearly Meeting Count" sheetId="10" r:id="rId9"/>
    <sheet name="No of meeting By Account Exe" sheetId="11" r:id="rId10"/>
    <sheet name="Top Open Opportunity" sheetId="15" r:id="rId11"/>
    <sheet name="KPI 3" sheetId="16" r:id="rId12"/>
    <sheet name="Stage Funnel by Revenue" sheetId="12" r:id="rId13"/>
    <sheet name="Dashboard" sheetId="14" r:id="rId14"/>
  </sheets>
  <definedNames>
    <definedName name="_xlchart.v2.0" hidden="1">'Stage Funnel by Revenue'!$A$9:$A$11</definedName>
    <definedName name="_xlchart.v2.1" hidden="1">'Stage Funnel by Revenue'!$B$9:$B$11</definedName>
    <definedName name="_xlchart.v2.2" hidden="1">'Stage Funnel by Revenue'!$A$9:$A$11</definedName>
    <definedName name="_xlchart.v2.3" hidden="1">'Stage Funnel by Revenue'!$B$9:$B$11</definedName>
    <definedName name="_xlcn.WorksheetConnection_FinalExcelProjectCopy.xlsxgcrm_opportunity_2020012310411" hidden="1">gcrm_opportunity_202001231041[]</definedName>
    <definedName name="_xlcn.WorksheetConnection_FinalExcelProjectCopy.xlsxinvoice_2020012310411" hidden="1">invoice_202001231041[]</definedName>
    <definedName name="_xlcn.WorksheetConnection_FinalExcelProjectCopy.xlsxmeeting_list_2020012310411" hidden="1">meeting_list_202001231041[]</definedName>
    <definedName name="ExternalData_1" localSheetId="0" hidden="1">Brokerage!$A$1:$Q$921</definedName>
    <definedName name="ExternalData_1" localSheetId="1" hidden="1">Fees!$A$1:$I$10</definedName>
    <definedName name="ExternalData_1" localSheetId="2" hidden="1">'Individual Target'!$A$1:$G$11</definedName>
    <definedName name="ExternalData_1" localSheetId="3" hidden="1">Invoice!$A$1:$L$205</definedName>
    <definedName name="ExternalData_1" localSheetId="4" hidden="1">Meeting!$A$1:$E$35</definedName>
    <definedName name="ExternalData_1" localSheetId="5" hidden="1">Opportunity!$A$1:$M$50</definedName>
    <definedName name="Slicer_Account_Executive">#N/A</definedName>
    <definedName name="Slicer_income_class">#N/A</definedName>
    <definedName name="Slicer_meeting_date__Year">#N/A</definedName>
    <definedName name="Slicer_stage">#N/A</definedName>
  </definedNames>
  <calcPr calcId="191029"/>
  <pivotCaches>
    <pivotCache cacheId="141" r:id="rId15"/>
    <pivotCache cacheId="144" r:id="rId16"/>
    <pivotCache cacheId="147" r:id="rId17"/>
    <pivotCache cacheId="150" r:id="rId18"/>
    <pivotCache cacheId="261" r:id="rId19"/>
    <pivotCache cacheId="264" r:id="rId20"/>
    <pivotCache cacheId="267" r:id="rId21"/>
    <pivotCache cacheId="270" r:id="rId22"/>
    <pivotCache cacheId="273" r:id="rId23"/>
    <pivotCache cacheId="276" r:id="rId24"/>
  </pivotCaches>
  <extLst>
    <ext xmlns:x14="http://schemas.microsoft.com/office/spreadsheetml/2009/9/main" uri="{876F7934-8845-4945-9796-88D515C7AA90}">
      <x14:pivotCaches>
        <pivotCache cacheId="123" r:id="rId25"/>
      </x14:pivotCaches>
    </ext>
    <ext xmlns:x14="http://schemas.microsoft.com/office/spreadsheetml/2009/9/main" uri="{BBE1A952-AA13-448e-AADC-164F8A28A991}">
      <x14:slicerCaches>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meeting_list_202001231041" name="meeting_list_202001231041" connection="WorksheetConnection_Final Excel Project - Copy.xlsx!meeting_list_202001231041"/>
          <x15:modelTable id="invoice_202001231041" name="invoice_202001231041" connection="WorksheetConnection_Final Excel Project - Copy.xlsx!invoice_202001231041"/>
          <x15:modelTable id="gcrm_opportunity_202001231041" name="gcrm_opportunity_202001231041" connection="WorksheetConnection_Final Excel Project - Copy.xlsx!gcrm_opportunity_202001231041"/>
        </x15:modelTables>
        <x15:extLst>
          <ext xmlns:x16="http://schemas.microsoft.com/office/spreadsheetml/2014/11/main" uri="{9835A34E-60A6-4A7C-AAB8-D5F71C897F49}">
            <x16:modelTimeGroupings>
              <x16:modelTimeGrouping tableName="meeting_list_202001231041" columnName="meeting_date" columnId="meeting_date">
                <x16:calculatedTimeColumn columnName="meeting_date (Year)" columnId="meeting_date (Year)" contentType="years" isSelected="1"/>
                <x16:calculatedTimeColumn columnName="meeting_date (Quarter)" columnId="meeting_date (Quarter)" contentType="quarters" isSelected="1"/>
                <x16:calculatedTimeColumn columnName="meeting_date (Month Index)" columnId="meeting_date (Month Index)" contentType="monthsindex" isSelected="1"/>
                <x16:calculatedTimeColumn columnName="meeting_date (Month)" columnId="meeting_date (Month)" contentType="months" isSelected="1"/>
              </x16:modelTimeGrouping>
            </x16:modelTimeGroupings>
          </ext>
        </x15:extLst>
      </x15:dataModel>
    </ext>
  </extLst>
</workbook>
</file>

<file path=xl/calcChain.xml><?xml version="1.0" encoding="utf-8"?>
<calcChain xmlns="http://schemas.openxmlformats.org/spreadsheetml/2006/main">
  <c r="I57" i="7" l="1"/>
  <c r="E14" i="16"/>
  <c r="I55" i="7" l="1"/>
  <c r="E16" i="16"/>
  <c r="B10" i="16"/>
  <c r="D10" i="16"/>
  <c r="B8" i="16"/>
  <c r="D9" i="16"/>
  <c r="F15" i="16"/>
  <c r="F14" i="16"/>
  <c r="E15" i="16"/>
  <c r="B9" i="16"/>
  <c r="D8" i="16"/>
  <c r="F16" i="16"/>
  <c r="F8" i="16" l="1"/>
  <c r="G15" i="16"/>
  <c r="C9" i="16"/>
  <c r="E9" i="16" s="1"/>
  <c r="C8" i="16"/>
  <c r="E8" i="16" s="1"/>
  <c r="G14" i="16"/>
  <c r="F9" i="16"/>
  <c r="F10" i="16"/>
  <c r="G16" i="16"/>
  <c r="C10" i="16"/>
  <c r="E10" i="16"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C91B643-A95C-4B05-A3D8-4FBEF0DDF28B}" keepAlive="1" name="Query - brokerage_202001231040" description="Connection to the 'brokerage_202001231040' query in the workbook." type="5" refreshedVersion="6" background="1" saveData="1">
    <dbPr connection="Provider=Microsoft.Mashup.OleDb.1;Data Source=$Workbook$;Location=brokerage_202001231040;Extended Properties=&quot;&quot;" command="SELECT * FROM [brokerage_202001231040]"/>
  </connection>
  <connection id="2" xr16:uid="{557ECE21-F98C-4436-AE82-CCE0605DF967}" keepAlive="1" name="Query - fees_202001231041" description="Connection to the 'fees_202001231041' query in the workbook." type="5" refreshedVersion="6" background="1" saveData="1">
    <dbPr connection="Provider=Microsoft.Mashup.OleDb.1;Data Source=$Workbook$;Location=fees_202001231041;Extended Properties=&quot;&quot;" command="SELECT * FROM [fees_202001231041]"/>
  </connection>
  <connection id="3" xr16:uid="{FABA1E88-5143-4AEC-B7D1-269C27EDBE46}" keepAlive="1" name="Query - gcrm_opportunity_202001231041" description="Connection to the 'gcrm_opportunity_202001231041' query in the workbook." type="5" refreshedVersion="6" background="1" saveData="1">
    <dbPr connection="Provider=Microsoft.Mashup.OleDb.1;Data Source=$Workbook$;Location=gcrm_opportunity_202001231041;Extended Properties=&quot;&quot;" command="SELECT * FROM [gcrm_opportunity_202001231041]"/>
  </connection>
  <connection id="4" xr16:uid="{D12F664C-E200-4111-A951-BC97F4A28B37}" keepAlive="1" name="Query - invoice_202001231041" description="Connection to the 'invoice_202001231041' query in the workbook." type="5" refreshedVersion="6" background="1" saveData="1">
    <dbPr connection="Provider=Microsoft.Mashup.OleDb.1;Data Source=$Workbook$;Location=invoice_202001231041;Extended Properties=&quot;&quot;" command="SELECT * FROM [invoice_202001231041]"/>
  </connection>
  <connection id="5" xr16:uid="{DC3632C6-F7C9-48B7-8A01-7822B0EC5482}" keepAlive="1" name="Query - meeting_list_202001231041" description="Connection to the 'meeting_list_202001231041' query in the workbook." type="5" refreshedVersion="6" background="1" saveData="1">
    <dbPr connection="Provider=Microsoft.Mashup.OleDb.1;Data Source=$Workbook$;Location=meeting_list_202001231041;Extended Properties=&quot;&quot;" command="SELECT * FROM [meeting_list_202001231041]"/>
  </connection>
  <connection id="6" xr16:uid="{5A5BEF56-7B8D-41BD-AFB7-66DD53EAFB47}" keepAlive="1" name="Query - NN+EN+EE Indi bdgt -20012020" description="Connection to the 'NN+EN+EE Indi bdgt -20012020' query in the workbook." type="5" refreshedVersion="6" background="1" saveData="1">
    <dbPr connection="Provider=Microsoft.Mashup.OleDb.1;Data Source=$Workbook$;Location=NN+EN+EE Indi bdgt -20012020;Extended Properties=&quot;&quot;" command="SELECT * FROM [NN+EN+EE Indi bdgt -20012020]"/>
  </connection>
  <connection id="7" xr16:uid="{7CC3FA14-4EE9-4C0B-8125-EB0175F5DB04}"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8" xr16:uid="{8DE6EEEB-63A7-424B-982B-4AFF92AFE8A9}" name="WorksheetConnection_Final Excel Project - Copy.xlsx!gcrm_opportunity_202001231041" type="102" refreshedVersion="6" minRefreshableVersion="5">
    <extLst>
      <ext xmlns:x15="http://schemas.microsoft.com/office/spreadsheetml/2010/11/main" uri="{DE250136-89BD-433C-8126-D09CA5730AF9}">
        <x15:connection id="gcrm_opportunity_202001231041" autoDelete="1">
          <x15:rangePr sourceName="_xlcn.WorksheetConnection_FinalExcelProjectCopy.xlsxgcrm_opportunity_2020012310411"/>
        </x15:connection>
      </ext>
    </extLst>
  </connection>
  <connection id="9" xr16:uid="{A5844A1F-0EDD-475C-91B2-2AC4FD6828D7}" name="WorksheetConnection_Final Excel Project - Copy.xlsx!invoice_202001231041" type="102" refreshedVersion="6" minRefreshableVersion="5">
    <extLst>
      <ext xmlns:x15="http://schemas.microsoft.com/office/spreadsheetml/2010/11/main" uri="{DE250136-89BD-433C-8126-D09CA5730AF9}">
        <x15:connection id="invoice_202001231041" autoDelete="1">
          <x15:rangePr sourceName="_xlcn.WorksheetConnection_FinalExcelProjectCopy.xlsxinvoice_2020012310411"/>
        </x15:connection>
      </ext>
    </extLst>
  </connection>
  <connection id="10" xr16:uid="{757E3B09-6CDA-4D7C-929F-4FEBADC12219}" name="WorksheetConnection_Final Excel Project - Copy.xlsx!meeting_list_202001231041" type="102" refreshedVersion="6" minRefreshableVersion="5">
    <extLst>
      <ext xmlns:x15="http://schemas.microsoft.com/office/spreadsheetml/2010/11/main" uri="{DE250136-89BD-433C-8126-D09CA5730AF9}">
        <x15:connection id="meeting_list_202001231041" autoDelete="1">
          <x15:rangePr sourceName="_xlcn.WorksheetConnection_FinalExcelProjectCopy.xlsxmeeting_list_2020012310411"/>
        </x15:connection>
      </ext>
    </extLst>
  </connection>
</connections>
</file>

<file path=xl/sharedStrings.xml><?xml version="1.0" encoding="utf-8"?>
<sst xmlns="http://schemas.openxmlformats.org/spreadsheetml/2006/main" count="11113" uniqueCount="844">
  <si>
    <t>client_name</t>
  </si>
  <si>
    <t>policy_number</t>
  </si>
  <si>
    <t>policy_status</t>
  </si>
  <si>
    <t>policy_start_date</t>
  </si>
  <si>
    <t>policy_end_date</t>
  </si>
  <si>
    <t>product_group</t>
  </si>
  <si>
    <t>Account Exe ID</t>
  </si>
  <si>
    <t>Exe Name</t>
  </si>
  <si>
    <t>branch_name</t>
  </si>
  <si>
    <t>solution_group</t>
  </si>
  <si>
    <t>income_class</t>
  </si>
  <si>
    <t>Amount</t>
  </si>
  <si>
    <t>income_due_date</t>
  </si>
  <si>
    <t>revenue_transaction_type</t>
  </si>
  <si>
    <t>renewal_status</t>
  </si>
  <si>
    <t>lapse_reason</t>
  </si>
  <si>
    <t>last_updated_date</t>
  </si>
  <si>
    <t>A</t>
  </si>
  <si>
    <t>2414 2022 4088 1000 000</t>
  </si>
  <si>
    <t>Active</t>
  </si>
  <si>
    <t>Marine</t>
  </si>
  <si>
    <t>Vinay</t>
  </si>
  <si>
    <t>Ahmedabad</t>
  </si>
  <si>
    <t>Renewal</t>
  </si>
  <si>
    <t>Brokerage</t>
  </si>
  <si>
    <t>Inception</t>
  </si>
  <si>
    <t>Sanjay Trivedi</t>
  </si>
  <si>
    <t>Abhinav Shivam</t>
  </si>
  <si>
    <t>New</t>
  </si>
  <si>
    <t>Anita Sethi</t>
  </si>
  <si>
    <t>0655001825 01</t>
  </si>
  <si>
    <t>Inactive</t>
  </si>
  <si>
    <t>Fire</t>
  </si>
  <si>
    <t>Construction, Power &amp; Infrastructure</t>
  </si>
  <si>
    <t>Ashok Chatterjee</t>
  </si>
  <si>
    <t>Rani Agarwal</t>
  </si>
  <si>
    <t>Miscellaneous</t>
  </si>
  <si>
    <t>Liability</t>
  </si>
  <si>
    <t>Arjun Rao</t>
  </si>
  <si>
    <t>237164239 00</t>
  </si>
  <si>
    <t>Employee Benefits</t>
  </si>
  <si>
    <t>Mark</t>
  </si>
  <si>
    <t>Employee Benefits (EB)</t>
  </si>
  <si>
    <t>Anil Naik</t>
  </si>
  <si>
    <t>4101190700000015-00</t>
  </si>
  <si>
    <t>Endorsement</t>
  </si>
  <si>
    <t>Simran Trivedi</t>
  </si>
  <si>
    <t xml:space="preserve">Brokerage </t>
  </si>
  <si>
    <t>Dhruv Chopra</t>
  </si>
  <si>
    <t>Jaya Chopra</t>
  </si>
  <si>
    <t>2414 2022 1261 2200 000</t>
  </si>
  <si>
    <t>Kiran Goyal</t>
  </si>
  <si>
    <t>2414 2026 2374 7800 000</t>
  </si>
  <si>
    <t>Pravin Sengupta</t>
  </si>
  <si>
    <t>Property / BI</t>
  </si>
  <si>
    <t>Snehal Das</t>
  </si>
  <si>
    <t>Rajesh Malhotra</t>
  </si>
  <si>
    <t>LWC/I2568913/71/05/006144</t>
  </si>
  <si>
    <t>Archana Bhatia</t>
  </si>
  <si>
    <t>0865074115 01</t>
  </si>
  <si>
    <t>Manish Sharma</t>
  </si>
  <si>
    <t>Small Medium Enterpries (SME)</t>
  </si>
  <si>
    <t>Ashok Reddy</t>
  </si>
  <si>
    <t>Madhuri Bhatia</t>
  </si>
  <si>
    <t>Animesh Rawat</t>
  </si>
  <si>
    <t>Global Client Network (GNB Inward)</t>
  </si>
  <si>
    <t>Cross Sell</t>
  </si>
  <si>
    <t>Pranav Mishra</t>
  </si>
  <si>
    <t>OG-19-2202-1018-00000055</t>
  </si>
  <si>
    <t>Rina Goyal</t>
  </si>
  <si>
    <t>OG-19-2202-3383-00000009</t>
  </si>
  <si>
    <t>Geeta Gupta</t>
  </si>
  <si>
    <t>Sudhir Roy</t>
  </si>
  <si>
    <t>0830017443 01</t>
  </si>
  <si>
    <t>Rani Kaul</t>
  </si>
  <si>
    <t>180876-0000-00</t>
  </si>
  <si>
    <t>Kavita Sharma</t>
  </si>
  <si>
    <t>180876-0000-01</t>
  </si>
  <si>
    <t>Shikha Sethi</t>
  </si>
  <si>
    <t>Amit Bhargava</t>
  </si>
  <si>
    <t>Alka Goel</t>
  </si>
  <si>
    <t>Harish Sharma</t>
  </si>
  <si>
    <t>P0119200001/9999/100017</t>
  </si>
  <si>
    <t>Shivani Sharma</t>
  </si>
  <si>
    <t>Gaurav Goel</t>
  </si>
  <si>
    <t>0865078325 00</t>
  </si>
  <si>
    <t>Ravi Naik</t>
  </si>
  <si>
    <t>Kamlesh Prasad</t>
  </si>
  <si>
    <t>Nikhil Verma</t>
  </si>
  <si>
    <t>'0865078325 01</t>
  </si>
  <si>
    <t>Vaishali Desai</t>
  </si>
  <si>
    <t>0865080591 00</t>
  </si>
  <si>
    <t>Atul Naik</t>
  </si>
  <si>
    <t>0865081032 00</t>
  </si>
  <si>
    <t>Meena Bhargava</t>
  </si>
  <si>
    <t>'310304111710000871</t>
  </si>
  <si>
    <t>Mona Chopra</t>
  </si>
  <si>
    <t>Mohit Tiwari</t>
  </si>
  <si>
    <t>Tina Dutta</t>
  </si>
  <si>
    <t>'310304591810000063</t>
  </si>
  <si>
    <t>Hemant Das</t>
  </si>
  <si>
    <t>'310300111910000401</t>
  </si>
  <si>
    <t>Sanjana Bhargava</t>
  </si>
  <si>
    <t>Kamlesh Trivedi</t>
  </si>
  <si>
    <t>Ketan Jain</t>
  </si>
  <si>
    <t>Nikita Tiwari</t>
  </si>
  <si>
    <t>Kapil Kapoor</t>
  </si>
  <si>
    <t>0830018899Â 01</t>
  </si>
  <si>
    <t>Harish Rana</t>
  </si>
  <si>
    <t>OG-19-2202-1018-00000059</t>
  </si>
  <si>
    <t>Nikhil Pandit</t>
  </si>
  <si>
    <t>OG-19-2001-3315-00000015</t>
  </si>
  <si>
    <t>Vivek Rana</t>
  </si>
  <si>
    <t>4005/134645920/01/000</t>
  </si>
  <si>
    <t>Hemant Nair</t>
  </si>
  <si>
    <t>Veena Bhargava</t>
  </si>
  <si>
    <t>4005/134645920/02/000</t>
  </si>
  <si>
    <t>Shivam Shah</t>
  </si>
  <si>
    <t>4016/133979727/01/000</t>
  </si>
  <si>
    <t>Bhavna Bhandari</t>
  </si>
  <si>
    <t>Tarun Shah</t>
  </si>
  <si>
    <t>4016/133979727/02/000</t>
  </si>
  <si>
    <t>Hemant Chauhan</t>
  </si>
  <si>
    <t>0865078861 00</t>
  </si>
  <si>
    <t>Geeta Verma</t>
  </si>
  <si>
    <t>4066/130374729/01/000</t>
  </si>
  <si>
    <t>Ashok Patel</t>
  </si>
  <si>
    <t>2002/160040691/00/000</t>
  </si>
  <si>
    <t>Gayatri Reddy</t>
  </si>
  <si>
    <t>2002/160040691/01/000</t>
  </si>
  <si>
    <t>Snehal Patel</t>
  </si>
  <si>
    <t>2002/E/107876781/03/000</t>
  </si>
  <si>
    <t>Vivek Yadav</t>
  </si>
  <si>
    <t>2002/E/1078781/02/000</t>
  </si>
  <si>
    <t>Juli</t>
  </si>
  <si>
    <t>Kiran Saxena</t>
  </si>
  <si>
    <t>Uday Reddy</t>
  </si>
  <si>
    <t>'14220011190100000062</t>
  </si>
  <si>
    <t>Raju Kumar</t>
  </si>
  <si>
    <t>Anita Pandit</t>
  </si>
  <si>
    <t>2690000138 04</t>
  </si>
  <si>
    <t>Hina Malhotra</t>
  </si>
  <si>
    <t>2690000337 03</t>
  </si>
  <si>
    <t>Alka Patel</t>
  </si>
  <si>
    <t>Trade Credit &amp;amp; Political Risk</t>
  </si>
  <si>
    <t>Shruti Roy</t>
  </si>
  <si>
    <t>OG-18-2202-3315-00000028</t>
  </si>
  <si>
    <t>Archana Singh</t>
  </si>
  <si>
    <t>'23060036180200000022</t>
  </si>
  <si>
    <t>Mukul Goyal</t>
  </si>
  <si>
    <t>'2999202466609300000</t>
  </si>
  <si>
    <t>Namita Bajaj</t>
  </si>
  <si>
    <t>'2999203175548500000</t>
  </si>
  <si>
    <t>Nikita Joshi</t>
  </si>
  <si>
    <t>141400/11/2018/737</t>
  </si>
  <si>
    <t>Tejas Shah</t>
  </si>
  <si>
    <t>141400/11/2018/738</t>
  </si>
  <si>
    <t>Kavita Rao</t>
  </si>
  <si>
    <t>141400/44/2018/101</t>
  </si>
  <si>
    <t>Hemant Shah</t>
  </si>
  <si>
    <t>141400/44/2018/102</t>
  </si>
  <si>
    <t>Prabhat Naik</t>
  </si>
  <si>
    <t>141400/48/2018/2149</t>
  </si>
  <si>
    <t>Nikhil Tiwari</t>
  </si>
  <si>
    <t>141400/48/2018/2150</t>
  </si>
  <si>
    <t>Neha Trivedi</t>
  </si>
  <si>
    <t>141400/48/2018/2237</t>
  </si>
  <si>
    <t>Shruti Agarwal</t>
  </si>
  <si>
    <t>141400/48/2018/2238</t>
  </si>
  <si>
    <t>Kiran Desai</t>
  </si>
  <si>
    <t>141400/48/2018/2239</t>
  </si>
  <si>
    <t>Kanchan Iyer</t>
  </si>
  <si>
    <t>LWC/I2548354/71/02/005537</t>
  </si>
  <si>
    <t>Bhavna Kapoor</t>
  </si>
  <si>
    <t>'91000036191500000014</t>
  </si>
  <si>
    <t>Ritika Reddy</t>
  </si>
  <si>
    <t>'91000036191700000002</t>
  </si>
  <si>
    <t>Suresh Das</t>
  </si>
  <si>
    <t>Shikha Chauhan</t>
  </si>
  <si>
    <t>Hemant Dutta</t>
  </si>
  <si>
    <t>Dinesh Pandey</t>
  </si>
  <si>
    <t>Archana Iyer</t>
  </si>
  <si>
    <t>0668111383 05</t>
  </si>
  <si>
    <t>Deepak Menon</t>
  </si>
  <si>
    <t>Vivek Gupta</t>
  </si>
  <si>
    <t>Rina Shah</t>
  </si>
  <si>
    <t>Uday Prasad</t>
  </si>
  <si>
    <t>OG-19-2202-1018-00000053</t>
  </si>
  <si>
    <t>Nitin Kapoor</t>
  </si>
  <si>
    <t>OG-19-2202-3383-00000008</t>
  </si>
  <si>
    <t>Harish Kaul</t>
  </si>
  <si>
    <t>PROHLN000242106</t>
  </si>
  <si>
    <t>Neeraj Arora</t>
  </si>
  <si>
    <t>Mukul Kumar</t>
  </si>
  <si>
    <t>Gauri Naik</t>
  </si>
  <si>
    <t>Harish Menon</t>
  </si>
  <si>
    <t>Mohit Gupta</t>
  </si>
  <si>
    <t>P0319200002/9999/100065</t>
  </si>
  <si>
    <t>Amit Arora</t>
  </si>
  <si>
    <t>2018-F0541357-FRE</t>
  </si>
  <si>
    <t>Nikita Pandit</t>
  </si>
  <si>
    <t>'11120044170300000009</t>
  </si>
  <si>
    <t>Engineering</t>
  </si>
  <si>
    <t>Vikas Gupta</t>
  </si>
  <si>
    <t>Kamlesh Pillai</t>
  </si>
  <si>
    <t>Umesh Agarwal</t>
  </si>
  <si>
    <t>Ankur Gandhi</t>
  </si>
  <si>
    <t>Dinesh Kaul</t>
  </si>
  <si>
    <t>Ankur Naik</t>
  </si>
  <si>
    <t>BB</t>
  </si>
  <si>
    <t>'0000000008540162-01</t>
  </si>
  <si>
    <t>FM00104260000100</t>
  </si>
  <si>
    <t>Vididt Saha</t>
  </si>
  <si>
    <t>2412/202063061201000</t>
  </si>
  <si>
    <t>2018-C1742872-MLO</t>
  </si>
  <si>
    <t>0000000008502066-01</t>
  </si>
  <si>
    <t>4101190600000030-00</t>
  </si>
  <si>
    <t>OG-19-2202-0425-00000018</t>
  </si>
  <si>
    <t>OG-19-2202-3304-00000007</t>
  </si>
  <si>
    <t>OG-19-2202-3315-00000007-1</t>
  </si>
  <si>
    <t>OG-19-2202-3383-00000003</t>
  </si>
  <si>
    <t>OG-19-2202-4002-00000009</t>
  </si>
  <si>
    <t>OG-19-2202-4004-00000034</t>
  </si>
  <si>
    <t>OG-19-2202-4004-00000038</t>
  </si>
  <si>
    <t>OG-19-2202-4010-00000762</t>
  </si>
  <si>
    <t>OG-19-2202-4010-00000789</t>
  </si>
  <si>
    <t>OG-19-2202-9931-00001420</t>
  </si>
  <si>
    <t>OG-20-2202-0425-00000017</t>
  </si>
  <si>
    <t>OG-20-2202-3304-00000009</t>
  </si>
  <si>
    <t>OG-20-2202-3315-00000012</t>
  </si>
  <si>
    <t>OG-20-2202-3383-00000002</t>
  </si>
  <si>
    <t>OG-20-2202-4002-00000010</t>
  </si>
  <si>
    <t>OG-20-2202-4004-00000062</t>
  </si>
  <si>
    <t>OG-20-2202-4004-00000064</t>
  </si>
  <si>
    <t>OG-20-2202-4010-00000869</t>
  </si>
  <si>
    <t>OG-20-2202-4010-00000905</t>
  </si>
  <si>
    <t>OG-20-2202-9931-00032558</t>
  </si>
  <si>
    <t>0301004728-2019</t>
  </si>
  <si>
    <t>0600010004 01</t>
  </si>
  <si>
    <t>0600010004 02</t>
  </si>
  <si>
    <t>0640002231 03</t>
  </si>
  <si>
    <t>0640002231 04</t>
  </si>
  <si>
    <t>32099602-01</t>
  </si>
  <si>
    <t>APG/I2064820/71/11/006144</t>
  </si>
  <si>
    <t>APG/I2064820/71/11/006343</t>
  </si>
  <si>
    <t>GHS/Q0226519/71</t>
  </si>
  <si>
    <t>GHS/Q1166066/71</t>
  </si>
  <si>
    <t>LWC/I2328626/71/04/005537</t>
  </si>
  <si>
    <t>OG-18-2202-1018-00000028</t>
  </si>
  <si>
    <t>OG-19-2202-1018-00000047</t>
  </si>
  <si>
    <t>4016 X 166425941 00 000</t>
  </si>
  <si>
    <t>141400/48/2020/1134</t>
  </si>
  <si>
    <t>Lapse</t>
  </si>
  <si>
    <t>OTHR â€“ Other</t>
  </si>
  <si>
    <t>MERC â€“ Merged with new combined policy</t>
  </si>
  <si>
    <t>'0000000008539844-01</t>
  </si>
  <si>
    <t>00000000085/39886</t>
  </si>
  <si>
    <t>'0000000008539944-01</t>
  </si>
  <si>
    <t>00000000086/43966</t>
  </si>
  <si>
    <t>'0300004329</t>
  </si>
  <si>
    <t>'0304001755</t>
  </si>
  <si>
    <t>'0655001664 03</t>
  </si>
  <si>
    <t>ABC</t>
  </si>
  <si>
    <t>0830016972 02</t>
  </si>
  <si>
    <t>0830016972Â 01</t>
  </si>
  <si>
    <t>'12063453</t>
  </si>
  <si>
    <t xml:space="preserve">121400/36/17/17/00000005 </t>
  </si>
  <si>
    <t>121400/36/17/30/00000014</t>
  </si>
  <si>
    <t>'12140036180800000001</t>
  </si>
  <si>
    <t>'12140036181700000021</t>
  </si>
  <si>
    <t>'12140036183000000021</t>
  </si>
  <si>
    <t>'2302003268</t>
  </si>
  <si>
    <t>2018-F0513845-BSS</t>
  </si>
  <si>
    <t>2018-L0116737-FWC</t>
  </si>
  <si>
    <t>2018-L0116800-PBL</t>
  </si>
  <si>
    <t>2019-F0673106-BSS</t>
  </si>
  <si>
    <t>2019-L0138835-FWC</t>
  </si>
  <si>
    <t>2019-L0139704-PBL</t>
  </si>
  <si>
    <t>FGP-24-18-7001720-01-000</t>
  </si>
  <si>
    <t>FGP-24-19-7003140-02-000</t>
  </si>
  <si>
    <t>H0088766</t>
  </si>
  <si>
    <t>141100/48/2019/48</t>
  </si>
  <si>
    <t>GMAN â€“ Global Mandate</t>
  </si>
  <si>
    <t>GTL 3193894</t>
  </si>
  <si>
    <t>GTL3304779</t>
  </si>
  <si>
    <t>0260009050 00</t>
  </si>
  <si>
    <t>0000000008907502-01</t>
  </si>
  <si>
    <t>020P000098802000</t>
  </si>
  <si>
    <t>020P000098803000</t>
  </si>
  <si>
    <t>000000000086/4398</t>
  </si>
  <si>
    <t>'0000000008539756-01</t>
  </si>
  <si>
    <t>'0000000008539844</t>
  </si>
  <si>
    <t>'0000000008643898-01</t>
  </si>
  <si>
    <t>'99000044180400000024</t>
  </si>
  <si>
    <t>LW/00009151000100</t>
  </si>
  <si>
    <t>2412/202312723700000</t>
  </si>
  <si>
    <t>OG-18-2202-4091-00000964</t>
  </si>
  <si>
    <t>1213001118P112967501</t>
  </si>
  <si>
    <t>'310304111810000477</t>
  </si>
  <si>
    <t>OG-19-2202-4091-00000967</t>
  </si>
  <si>
    <t>YB00020403000100</t>
  </si>
  <si>
    <t>31030411/17/10000760</t>
  </si>
  <si>
    <t>31030/459/1710000154</t>
  </si>
  <si>
    <t>2999/202296981100000</t>
  </si>
  <si>
    <t>2999202758217600000"</t>
  </si>
  <si>
    <t>141100/48/2019/4225</t>
  </si>
  <si>
    <t>2002/132282540/02/000</t>
  </si>
  <si>
    <t>2018-B0100354-FBG</t>
  </si>
  <si>
    <t>2018-F0512344-FRE</t>
  </si>
  <si>
    <t>2018-F0512462-FLO</t>
  </si>
  <si>
    <t>2018-L0116963-CGL</t>
  </si>
  <si>
    <t>2412/2024 4046 0100 000</t>
  </si>
  <si>
    <t>0635003567 00</t>
  </si>
  <si>
    <t>4010/118287210/02/000</t>
  </si>
  <si>
    <t>4010/118433486/02/000</t>
  </si>
  <si>
    <t>4010/118434222/02/000</t>
  </si>
  <si>
    <t>Kumar Jha</t>
  </si>
  <si>
    <t>Gilbert</t>
  </si>
  <si>
    <t>0640002526 02</t>
  </si>
  <si>
    <t>1003/126704810/01/000</t>
  </si>
  <si>
    <t>1003/126704810/02/000</t>
  </si>
  <si>
    <t>2304001082-01</t>
  </si>
  <si>
    <t>2600010787 00</t>
  </si>
  <si>
    <t>2600011209 00</t>
  </si>
  <si>
    <t>2600015265 00</t>
  </si>
  <si>
    <t>4001/117090005/02/0000</t>
  </si>
  <si>
    <t>4001/117090005/03/000</t>
  </si>
  <si>
    <t>4001/122835467/01</t>
  </si>
  <si>
    <t>4001/122835467/02/000</t>
  </si>
  <si>
    <t xml:space="preserve">4001/122835467/02/000 </t>
  </si>
  <si>
    <t>4001/122835467/03/000</t>
  </si>
  <si>
    <t>4092/147 968178/00/000</t>
  </si>
  <si>
    <t>4092/151965577/01/000</t>
  </si>
  <si>
    <t>ER00004563000100</t>
  </si>
  <si>
    <t>OG-19-2202-1002-00001901</t>
  </si>
  <si>
    <t>OG-19-2202-1002-00001981</t>
  </si>
  <si>
    <t>OG-19-2202-4001-00011127</t>
  </si>
  <si>
    <t>OG-19-2202-4010-00002245</t>
  </si>
  <si>
    <t>'001P000202300000</t>
  </si>
  <si>
    <t>'001P000203500000</t>
  </si>
  <si>
    <t>111200/11/2018/98</t>
  </si>
  <si>
    <t>DRCT - Direct</t>
  </si>
  <si>
    <t>'11120036181000000012</t>
  </si>
  <si>
    <t>'11120044170300000014</t>
  </si>
  <si>
    <t>XYZ</t>
  </si>
  <si>
    <t>11120044180300000010'</t>
  </si>
  <si>
    <t>'11120044180300000011</t>
  </si>
  <si>
    <t>'11120044180300000012</t>
  </si>
  <si>
    <t>'11120044180800000002</t>
  </si>
  <si>
    <t>'11120044180800000003</t>
  </si>
  <si>
    <t>'11120044180800000006</t>
  </si>
  <si>
    <t>1210001119P104351661'</t>
  </si>
  <si>
    <t>'1213004416P107726014 / 1213002116P107726019</t>
  </si>
  <si>
    <t>1213004416P107726014  (SCE)/1213002116P107726019 ( MCE)</t>
  </si>
  <si>
    <t xml:space="preserve">1213004416P107744588 </t>
  </si>
  <si>
    <t>NOLN - No Longer Needed</t>
  </si>
  <si>
    <t>'1213004416P109402880</t>
  </si>
  <si>
    <t>141400/11/2018/484</t>
  </si>
  <si>
    <t>141400/48/2018/1288</t>
  </si>
  <si>
    <t>'23070044150300000010</t>
  </si>
  <si>
    <t>'23070044170300000002</t>
  </si>
  <si>
    <t>'42040044180300000018</t>
  </si>
  <si>
    <t>'42040044180300000033</t>
  </si>
  <si>
    <t>'42040044180300000057</t>
  </si>
  <si>
    <t>5004/118413988/00/000</t>
  </si>
  <si>
    <t>'500413128488100000</t>
  </si>
  <si>
    <t>2002/174911788/00/000</t>
  </si>
  <si>
    <t>'2414201438068601000</t>
  </si>
  <si>
    <t>'310300111910000371</t>
  </si>
  <si>
    <t>OG-19-2202-1018-00000036</t>
  </si>
  <si>
    <t>YB00015574000102</t>
  </si>
  <si>
    <t>Energy</t>
  </si>
  <si>
    <t>YB00015574000103</t>
  </si>
  <si>
    <t>'2411 2020 9689 0500 000</t>
  </si>
  <si>
    <t>'310300111910000396</t>
  </si>
  <si>
    <t>'310300111910000397</t>
  </si>
  <si>
    <t>MD004600</t>
  </si>
  <si>
    <t>0865085175 00 00</t>
  </si>
  <si>
    <t>2002/160095852/00/000</t>
  </si>
  <si>
    <t>'21300031180100007178</t>
  </si>
  <si>
    <t>Motor</t>
  </si>
  <si>
    <t>'310300111910000395</t>
  </si>
  <si>
    <t>0301004265-1</t>
  </si>
  <si>
    <t>2412 2020 7182 9001 000</t>
  </si>
  <si>
    <t>4101191100000008-00</t>
  </si>
  <si>
    <t>OG-19-2202-4001-00004011</t>
  </si>
  <si>
    <t>OG-19-2202-4004-00000044</t>
  </si>
  <si>
    <t>OG-19-2202-4010-00000816</t>
  </si>
  <si>
    <t>OG-19-2202-4010-00000817</t>
  </si>
  <si>
    <t>OG-19-2202-4011-00000127</t>
  </si>
  <si>
    <t>OG-20-2202-4004-00000043</t>
  </si>
  <si>
    <t>OG-20-2202-4004-00000066</t>
  </si>
  <si>
    <t>OG-20-2202-4010-00000924</t>
  </si>
  <si>
    <t>0000000007919559-01</t>
  </si>
  <si>
    <t>2001/161822918/00/000</t>
  </si>
  <si>
    <t>COMP - Competition</t>
  </si>
  <si>
    <t>0865082088 00</t>
  </si>
  <si>
    <t>4016/138636598/01/000</t>
  </si>
  <si>
    <t>2005/162167315/00/000</t>
  </si>
  <si>
    <t>0000000007404252-01</t>
  </si>
  <si>
    <t>0000000007404252-02</t>
  </si>
  <si>
    <t>0000000010619837-01</t>
  </si>
  <si>
    <t>1011/142530053/00/000</t>
  </si>
  <si>
    <t>1011/142530053/01/000</t>
  </si>
  <si>
    <t>DDD</t>
  </si>
  <si>
    <t>4006/131284920/01/000</t>
  </si>
  <si>
    <t>4006/131284920/02/000</t>
  </si>
  <si>
    <t>4010/121054809/01/000</t>
  </si>
  <si>
    <t>4010/121054809/02/000</t>
  </si>
  <si>
    <t>4016 138636598 02 000</t>
  </si>
  <si>
    <t>5002/131802941/01/000</t>
  </si>
  <si>
    <t>5002/131802941/02/000</t>
  </si>
  <si>
    <t>LQX/I2508418/71/02/005537</t>
  </si>
  <si>
    <t>NBI Domestic</t>
  </si>
  <si>
    <t>NBI Export</t>
  </si>
  <si>
    <t>OG-18-2202-1018-00000036</t>
  </si>
  <si>
    <t>OG-18-2202-3383-00000005</t>
  </si>
  <si>
    <t>OG-19-2202-1018-00000052</t>
  </si>
  <si>
    <t>OG-19-2202-3383-00000007</t>
  </si>
  <si>
    <t>PROHLN000005719</t>
  </si>
  <si>
    <t>JCOM - Job Completed</t>
  </si>
  <si>
    <t>'2309003157</t>
  </si>
  <si>
    <t>'2309003157 01</t>
  </si>
  <si>
    <t>99000011170100000135'</t>
  </si>
  <si>
    <t>'99000011170100000412</t>
  </si>
  <si>
    <t>99000011180100000149'</t>
  </si>
  <si>
    <t>'99000011180100000284</t>
  </si>
  <si>
    <t>'99000011180100000303</t>
  </si>
  <si>
    <t>'99000011180100000339</t>
  </si>
  <si>
    <t>'99000011180100000340</t>
  </si>
  <si>
    <t>'99000011180100000352</t>
  </si>
  <si>
    <t>'99000011180100000353</t>
  </si>
  <si>
    <t>'99000011190100000078</t>
  </si>
  <si>
    <t>'99000011190100000079</t>
  </si>
  <si>
    <t>'99000011190100000121</t>
  </si>
  <si>
    <t>'99000021180100000013</t>
  </si>
  <si>
    <t>'99000036181500000054</t>
  </si>
  <si>
    <t>'99000044175800000017</t>
  </si>
  <si>
    <t>'99000044180300000004</t>
  </si>
  <si>
    <t>'99000044180300000009</t>
  </si>
  <si>
    <t>'99000044180300000022</t>
  </si>
  <si>
    <t>'99000044180300000047</t>
  </si>
  <si>
    <t>'99000044180300000048</t>
  </si>
  <si>
    <t>'99000044180300000053</t>
  </si>
  <si>
    <t>'99000044180300000056</t>
  </si>
  <si>
    <t>'99000044180300000064</t>
  </si>
  <si>
    <t>'99000044180300000074</t>
  </si>
  <si>
    <t>'99000044180300000076</t>
  </si>
  <si>
    <t>'99000044180300000078</t>
  </si>
  <si>
    <t>'99000044180700000011</t>
  </si>
  <si>
    <t>'99000044180700000012</t>
  </si>
  <si>
    <t>'99000044185800000014</t>
  </si>
  <si>
    <t>'99000044185900000001</t>
  </si>
  <si>
    <t>'99000044190300000004</t>
  </si>
  <si>
    <t>'99000044190300000023</t>
  </si>
  <si>
    <t>'99000044190300000046</t>
  </si>
  <si>
    <t>'99000044190700000001</t>
  </si>
  <si>
    <t>''99000044190700000001</t>
  </si>
  <si>
    <t>'99000044190700000002</t>
  </si>
  <si>
    <t>'99000044196500000008</t>
  </si>
  <si>
    <t>Policy Renewed</t>
  </si>
  <si>
    <t>'99000046182400000003</t>
  </si>
  <si>
    <t>'99000046182400000039</t>
  </si>
  <si>
    <t>'99000046182400000053</t>
  </si>
  <si>
    <t>'99000046182400000054</t>
  </si>
  <si>
    <t>'99000046182400000055</t>
  </si>
  <si>
    <t>'99000046192400000001</t>
  </si>
  <si>
    <t>'99000046192400000020</t>
  </si>
  <si>
    <t>'99000046192400000039</t>
  </si>
  <si>
    <t>'99000046192400000057</t>
  </si>
  <si>
    <t>'99000046192400000058</t>
  </si>
  <si>
    <t>'99000046192400000059</t>
  </si>
  <si>
    <t>'99000046192400000060</t>
  </si>
  <si>
    <t>"	99000048170300000007"</t>
  </si>
  <si>
    <t>HG00003377000100</t>
  </si>
  <si>
    <t>0865000748 01</t>
  </si>
  <si>
    <t>0865000748 02</t>
  </si>
  <si>
    <t>Affinity</t>
  </si>
  <si>
    <t>LWC/I2688106/71/10/006144</t>
  </si>
  <si>
    <t>M6867997</t>
  </si>
  <si>
    <t>M7016785</t>
  </si>
  <si>
    <t>'310304491710000022</t>
  </si>
  <si>
    <t>OG-20-2202-3305-00000123</t>
  </si>
  <si>
    <t>Emerging Corporates Group (ECG)</t>
  </si>
  <si>
    <t>OG-19-2201-0420-00000001</t>
  </si>
  <si>
    <t>OG-19-2201-0425-00000001</t>
  </si>
  <si>
    <t>OG-19-2201-4001-00000061</t>
  </si>
  <si>
    <t>OG-19-2201-4001-00000063</t>
  </si>
  <si>
    <t>OG-19-2201-4005-00000001</t>
  </si>
  <si>
    <t>OG-20-2201-9931-00000664</t>
  </si>
  <si>
    <t>OG-19-2201-4011-00000002</t>
  </si>
  <si>
    <t>0000000007817932-01</t>
  </si>
  <si>
    <t>0000000007817932-02</t>
  </si>
  <si>
    <t>0526002817P114267969/0</t>
  </si>
  <si>
    <t>0526004217P114582552/0</t>
  </si>
  <si>
    <t>MCO/I3350570/71/01/006343</t>
  </si>
  <si>
    <t>PBI/I3352741/71/01/006343</t>
  </si>
  <si>
    <t>PFS/I3353707/71/01/006343</t>
  </si>
  <si>
    <t>4006/79486382/05/000</t>
  </si>
  <si>
    <t>4010/141353816/01/000</t>
  </si>
  <si>
    <t>LAP</t>
  </si>
  <si>
    <t>4066/140501600/01/000</t>
  </si>
  <si>
    <t>4086/160357783/00/000</t>
  </si>
  <si>
    <t>H0048996</t>
  </si>
  <si>
    <t>H0056637</t>
  </si>
  <si>
    <t>020W000078800000</t>
  </si>
  <si>
    <t>0830017645 02</t>
  </si>
  <si>
    <t>OG-19-2202-0425-00000002</t>
  </si>
  <si>
    <t>OG-19-2202-0425-00000003</t>
  </si>
  <si>
    <t>OG-19-2202-1018-00000009</t>
  </si>
  <si>
    <t>OG-19-2202-4001-00007099</t>
  </si>
  <si>
    <t>OG-19-2202-4002-00000005</t>
  </si>
  <si>
    <t>OG-19-2202-4003-00000012</t>
  </si>
  <si>
    <t>OG-19-2202-4004-00000010</t>
  </si>
  <si>
    <t>OG-19-2202-4010-00000104</t>
  </si>
  <si>
    <t>OG-19-2202-4010-00000159</t>
  </si>
  <si>
    <t>OG-19-2202-4011-00000003</t>
  </si>
  <si>
    <t>OG-19-2202-9931-00000002</t>
  </si>
  <si>
    <t>OG-19-2202-9931-00000163</t>
  </si>
  <si>
    <t>2200130820 02</t>
  </si>
  <si>
    <t>4016/120415654/02/00</t>
  </si>
  <si>
    <t>4016/120415654/03/00</t>
  </si>
  <si>
    <t>AG00059046000100</t>
  </si>
  <si>
    <t>OG-19-2202-3315-00000009</t>
  </si>
  <si>
    <t>OG-20-2202-3315-00000009</t>
  </si>
  <si>
    <t>P0019200001/9999/100301</t>
  </si>
  <si>
    <t>P0218200001/9999/100262</t>
  </si>
  <si>
    <t>0830018887 01</t>
  </si>
  <si>
    <t>0830018888 01</t>
  </si>
  <si>
    <t>OG-19-2202-1018-00000060</t>
  </si>
  <si>
    <t>HCL</t>
  </si>
  <si>
    <t>'2200060187 06</t>
  </si>
  <si>
    <t>OG-19-2202-1005-00000153</t>
  </si>
  <si>
    <t>OG-19-2202-4097-00000073</t>
  </si>
  <si>
    <t>OG-19-2202-4097-00000077</t>
  </si>
  <si>
    <t>OG-19-2202-4097-00000079</t>
  </si>
  <si>
    <t>OG-20-2202-1005-00000171-2019</t>
  </si>
  <si>
    <t>OG-20-2202-4097-00000170</t>
  </si>
  <si>
    <t>OG-20-2202-4097-00000171</t>
  </si>
  <si>
    <t>OG-20-2202-4097-00000201</t>
  </si>
  <si>
    <t>'2411202761687800000</t>
  </si>
  <si>
    <t>ST20002720000101</t>
  </si>
  <si>
    <t>'ST20003045000100</t>
  </si>
  <si>
    <t>ST20003618000100</t>
  </si>
  <si>
    <t>ST20003619000100</t>
  </si>
  <si>
    <t>STS1086243000100</t>
  </si>
  <si>
    <t>100200080123/01/00</t>
  </si>
  <si>
    <t>10020080123/0000</t>
  </si>
  <si>
    <t>LPGPA0000000200</t>
  </si>
  <si>
    <t>LPGPA0000000200/01</t>
  </si>
  <si>
    <t>4025/136366502/02/000</t>
  </si>
  <si>
    <t>OG-19-2202-1018-00000054</t>
  </si>
  <si>
    <t>OG-19-2202-3383-00000010</t>
  </si>
  <si>
    <t>OG-19-2201-4001-00001050</t>
  </si>
  <si>
    <t>OG-19-2201-4001-00000973</t>
  </si>
  <si>
    <t>505373-01</t>
  </si>
  <si>
    <t>H0067187</t>
  </si>
  <si>
    <t>4016 X 185834560 00 000</t>
  </si>
  <si>
    <t>Account Executive</t>
  </si>
  <si>
    <t>Nishant Sharma</t>
  </si>
  <si>
    <t>Fees</t>
  </si>
  <si>
    <t>GL Client Network (GNB Inward)</t>
  </si>
  <si>
    <t>Branch</t>
  </si>
  <si>
    <t>Employee Name</t>
  </si>
  <si>
    <t>New Role2</t>
  </si>
  <si>
    <t>New Budget</t>
  </si>
  <si>
    <t>Cross sell bugdet</t>
  </si>
  <si>
    <t>Renewal Budget</t>
  </si>
  <si>
    <t>Hunter &amp; Farmer</t>
  </si>
  <si>
    <t>Servicer</t>
  </si>
  <si>
    <t>BH</t>
  </si>
  <si>
    <t>Servicer Claims</t>
  </si>
  <si>
    <t>Vidit Shah</t>
  </si>
  <si>
    <t>Farmer &amp; Servicer</t>
  </si>
  <si>
    <t>invoice_number</t>
  </si>
  <si>
    <t>invoice_date</t>
  </si>
  <si>
    <t>Account_Exe_ID</t>
  </si>
  <si>
    <t>Account_Executive</t>
  </si>
  <si>
    <t>Client_Name</t>
  </si>
  <si>
    <t>Alex Johnson</t>
  </si>
  <si>
    <t>Emily Thompson</t>
  </si>
  <si>
    <t>Liam Smith</t>
  </si>
  <si>
    <t>Ava Davis</t>
  </si>
  <si>
    <t>Noah Wilson</t>
  </si>
  <si>
    <t>Olivia Brown</t>
  </si>
  <si>
    <t>William Martinez</t>
  </si>
  <si>
    <t>Sophia Garcia</t>
  </si>
  <si>
    <t>James Miller</t>
  </si>
  <si>
    <t>Mia Rodriguez</t>
  </si>
  <si>
    <t>Benjamin Anderson</t>
  </si>
  <si>
    <t>Charlotte Taylor</t>
  </si>
  <si>
    <t>Lucas Hernandez</t>
  </si>
  <si>
    <t>Amelia Moore</t>
  </si>
  <si>
    <t>Henry Thomas</t>
  </si>
  <si>
    <t>Harper Martin</t>
  </si>
  <si>
    <t>Alexander Jackson</t>
  </si>
  <si>
    <t>Ella White</t>
  </si>
  <si>
    <t>Michael Lee</t>
  </si>
  <si>
    <t>Grace Harris</t>
  </si>
  <si>
    <t>Daniel Clark</t>
  </si>
  <si>
    <t>Scarlett Lewis</t>
  </si>
  <si>
    <t>Matthew Walker</t>
  </si>
  <si>
    <t>Madison Robinson</t>
  </si>
  <si>
    <t>David Hall</t>
  </si>
  <si>
    <t>Lily Young</t>
  </si>
  <si>
    <t>Samuel Allen</t>
  </si>
  <si>
    <t>Chloe King</t>
  </si>
  <si>
    <t>Joseph Scott</t>
  </si>
  <si>
    <t>Evelyn Wright</t>
  </si>
  <si>
    <t>Andrew Adams</t>
  </si>
  <si>
    <t>Aria Baker</t>
  </si>
  <si>
    <t>Christopher Campbell</t>
  </si>
  <si>
    <t>Zoe Rivera</t>
  </si>
  <si>
    <t>Anthony Mitchell</t>
  </si>
  <si>
    <t>Mila Flores</t>
  </si>
  <si>
    <t>Joshua Roberts</t>
  </si>
  <si>
    <t>Nora Sanders</t>
  </si>
  <si>
    <t>Ryan Murphy</t>
  </si>
  <si>
    <t>Ellie Patterson</t>
  </si>
  <si>
    <t>Ethan Hughes</t>
  </si>
  <si>
    <t>Layla Price</t>
  </si>
  <si>
    <t>Elijah Cox</t>
  </si>
  <si>
    <t>Penelope Butler</t>
  </si>
  <si>
    <t>Sebastian Long</t>
  </si>
  <si>
    <t>Riley Brooks</t>
  </si>
  <si>
    <t>Jack Richardson</t>
  </si>
  <si>
    <t>Lily Wood</t>
  </si>
  <si>
    <t>Dylan Stewart</t>
  </si>
  <si>
    <t>Audrey Morgan</t>
  </si>
  <si>
    <t>Luke Barnes</t>
  </si>
  <si>
    <t>Bella Sanchez</t>
  </si>
  <si>
    <t>Mason Bell</t>
  </si>
  <si>
    <t>Lillian Parker</t>
  </si>
  <si>
    <t>Owen Reed</t>
  </si>
  <si>
    <t>Sadie Jenkins</t>
  </si>
  <si>
    <t>Gabriel Cooper</t>
  </si>
  <si>
    <t>Aubrey Coleman</t>
  </si>
  <si>
    <t>Aiden Bailey</t>
  </si>
  <si>
    <t>Hannah Evans</t>
  </si>
  <si>
    <t>Isaac Morris</t>
  </si>
  <si>
    <t>Mila Carter</t>
  </si>
  <si>
    <t>Logan Kelly</t>
  </si>
  <si>
    <t>Camila Howard</t>
  </si>
  <si>
    <t>Jayden Hughes</t>
  </si>
  <si>
    <t>Savannah Ward</t>
  </si>
  <si>
    <t>Caleb Bryant</t>
  </si>
  <si>
    <t>Zoe Fisher</t>
  </si>
  <si>
    <t>Nathan Martinez</t>
  </si>
  <si>
    <t>Addison Henderson</t>
  </si>
  <si>
    <t>Hunter Collins</t>
  </si>
  <si>
    <t>Paisley Price</t>
  </si>
  <si>
    <t>Julian Hayes</t>
  </si>
  <si>
    <t>Bella Gonzales</t>
  </si>
  <si>
    <t>Christian Spencer</t>
  </si>
  <si>
    <t>Scarlett Webb</t>
  </si>
  <si>
    <t>Dominic Graham</t>
  </si>
  <si>
    <t>Violet Pearson</t>
  </si>
  <si>
    <t>Jonathan Peterson</t>
  </si>
  <si>
    <t>Maya Simmons</t>
  </si>
  <si>
    <t>Connor Foster</t>
  </si>
  <si>
    <t>Aurora Hamilton</t>
  </si>
  <si>
    <t>Adrian Ross</t>
  </si>
  <si>
    <t>Natalia Stone</t>
  </si>
  <si>
    <t>Miles Andrews</t>
  </si>
  <si>
    <t>Hazel McCarthy</t>
  </si>
  <si>
    <t>TBA</t>
  </si>
  <si>
    <t>Aaron Nichols</t>
  </si>
  <si>
    <t>Piper Holland</t>
  </si>
  <si>
    <t>Evan Bishop</t>
  </si>
  <si>
    <t>Lucy Reid</t>
  </si>
  <si>
    <t>Cameron Lawson</t>
  </si>
  <si>
    <t>Nora Freeman</t>
  </si>
  <si>
    <t>Tyler Stevens</t>
  </si>
  <si>
    <t>Sydney Gibson</t>
  </si>
  <si>
    <t>Caleb Watts</t>
  </si>
  <si>
    <t>Ruby Holland</t>
  </si>
  <si>
    <t>Robert Black</t>
  </si>
  <si>
    <t>Alice Wheeler</t>
  </si>
  <si>
    <t>Justin Kim</t>
  </si>
  <si>
    <t>Molly Zimmerman</t>
  </si>
  <si>
    <t>Mahendara</t>
  </si>
  <si>
    <t>Shruti</t>
  </si>
  <si>
    <t>Janish</t>
  </si>
  <si>
    <t>Aman Tyagi</t>
  </si>
  <si>
    <t>global_attendees</t>
  </si>
  <si>
    <t>meeting_date</t>
  </si>
  <si>
    <t>opportunity_name</t>
  </si>
  <si>
    <t>opportunity_id</t>
  </si>
  <si>
    <t>Account Exe Id</t>
  </si>
  <si>
    <t>premium_amount</t>
  </si>
  <si>
    <t>revenue_amount</t>
  </si>
  <si>
    <t>closing_date</t>
  </si>
  <si>
    <t>stage</t>
  </si>
  <si>
    <t>branch</t>
  </si>
  <si>
    <t>specialty</t>
  </si>
  <si>
    <t>product_sub_group</t>
  </si>
  <si>
    <t>risk_details</t>
  </si>
  <si>
    <t>EL-Group Mediclaim</t>
  </si>
  <si>
    <t>OPP1900001042</t>
  </si>
  <si>
    <t>Qualify Opportunity</t>
  </si>
  <si>
    <t>Mediclaim</t>
  </si>
  <si>
    <t>Group Medical</t>
  </si>
  <si>
    <t>AL GPA</t>
  </si>
  <si>
    <t>OPP1900001047</t>
  </si>
  <si>
    <t>Group Personal Accident</t>
  </si>
  <si>
    <t>BL - Marine STOP</t>
  </si>
  <si>
    <t>OPP1900001048</t>
  </si>
  <si>
    <t>Marine Hull</t>
  </si>
  <si>
    <t>Charterers' Liability Policy</t>
  </si>
  <si>
    <t>II-Marine</t>
  </si>
  <si>
    <t>OPP1900001050</t>
  </si>
  <si>
    <t>PIL-Credit Insurance</t>
  </si>
  <si>
    <t>OPP1900001051</t>
  </si>
  <si>
    <t>Trade Credit Insurance</t>
  </si>
  <si>
    <t>PIL-CGL</t>
  </si>
  <si>
    <t>OPP1900001052</t>
  </si>
  <si>
    <t>Financial Lines</t>
  </si>
  <si>
    <t>Commercial General Liability</t>
  </si>
  <si>
    <t>PIL -Marine</t>
  </si>
  <si>
    <t>OPP1900001053</t>
  </si>
  <si>
    <t>SGL- GMC</t>
  </si>
  <si>
    <t>OPP1900001054</t>
  </si>
  <si>
    <t>Sandesh - Marine</t>
  </si>
  <si>
    <t>OPP1900001055</t>
  </si>
  <si>
    <t>VS.-Marine</t>
  </si>
  <si>
    <t>OPP1900001056</t>
  </si>
  <si>
    <t>II -  GMC</t>
  </si>
  <si>
    <t>OPP1900001057</t>
  </si>
  <si>
    <t>II - GPA</t>
  </si>
  <si>
    <t>OPP1900001058</t>
  </si>
  <si>
    <t>G R -GMC</t>
  </si>
  <si>
    <t>OPP1900001072</t>
  </si>
  <si>
    <t>DB- Cyber Liability</t>
  </si>
  <si>
    <t>OPP1900001138</t>
  </si>
  <si>
    <t>Cyber Liability Insurance</t>
  </si>
  <si>
    <t>KB GMC</t>
  </si>
  <si>
    <t>OPP1900001222</t>
  </si>
  <si>
    <t>EI- GMC</t>
  </si>
  <si>
    <t>OPP1900001364</t>
  </si>
  <si>
    <t>CVP GMC</t>
  </si>
  <si>
    <t>OPP1900001365</t>
  </si>
  <si>
    <t>Sin GMC</t>
  </si>
  <si>
    <t>OPP1900001366</t>
  </si>
  <si>
    <t>Negotiate</t>
  </si>
  <si>
    <t>FM-Group Mediclaim</t>
  </si>
  <si>
    <t>OPP1900001390</t>
  </si>
  <si>
    <t>Stem GMC</t>
  </si>
  <si>
    <t>OPP1900001391</t>
  </si>
  <si>
    <t>DS- Employees GMC</t>
  </si>
  <si>
    <t>OPP1900001392</t>
  </si>
  <si>
    <t>BVGMC</t>
  </si>
  <si>
    <t>OPP1900001393</t>
  </si>
  <si>
    <t>BV GPA</t>
  </si>
  <si>
    <t>OPP1900001394</t>
  </si>
  <si>
    <t>GL-CGL</t>
  </si>
  <si>
    <t>OPP1900001655</t>
  </si>
  <si>
    <t>GL-Crime</t>
  </si>
  <si>
    <t>OPP1900001656</t>
  </si>
  <si>
    <t>Commercial Crime Insurance</t>
  </si>
  <si>
    <t>OP-GMC</t>
  </si>
  <si>
    <t>OPP1900001803</t>
  </si>
  <si>
    <t>OPP1900001843</t>
  </si>
  <si>
    <t>Marine Cargo</t>
  </si>
  <si>
    <t>Marine Combo policy ( EXIM +Inland)</t>
  </si>
  <si>
    <t>ITNL - IAR (Operational Roads)</t>
  </si>
  <si>
    <t>OPP1900001906</t>
  </si>
  <si>
    <t>Constructions &amp;amp; Infrastructure</t>
  </si>
  <si>
    <t>Industrial All Risks</t>
  </si>
  <si>
    <t>Maine Open</t>
  </si>
  <si>
    <t>OPP1900001923</t>
  </si>
  <si>
    <t>Propose Solution</t>
  </si>
  <si>
    <t>BD PDBI</t>
  </si>
  <si>
    <t>OPP1900001937</t>
  </si>
  <si>
    <t>Fire &amp;amp; Special Perils</t>
  </si>
  <si>
    <t>CI-CAR/EAR Policy</t>
  </si>
  <si>
    <t>OPP1900001938</t>
  </si>
  <si>
    <t>Contractors All Risk</t>
  </si>
  <si>
    <t>Sandesh - PDBI</t>
  </si>
  <si>
    <t>OPP1900001939</t>
  </si>
  <si>
    <t>VS-PDBI</t>
  </si>
  <si>
    <t>OPP1900001940</t>
  </si>
  <si>
    <t>ag - Property Insurance</t>
  </si>
  <si>
    <t>OPP1900001941</t>
  </si>
  <si>
    <t>BE-Mega policy</t>
  </si>
  <si>
    <t>OPP1900001942</t>
  </si>
  <si>
    <t>BC - PDBI</t>
  </si>
  <si>
    <t>OPP1900001943</t>
  </si>
  <si>
    <t>CP-PDBI</t>
  </si>
  <si>
    <t>OPP1900001944</t>
  </si>
  <si>
    <t>DB -Mega Policy</t>
  </si>
  <si>
    <t>OPP1900001945</t>
  </si>
  <si>
    <t>DB -Terrorism Policy</t>
  </si>
  <si>
    <t>OPP1900001946</t>
  </si>
  <si>
    <t>Crises Mgmt / Terr / Political Risks / K&amp;amp;R</t>
  </si>
  <si>
    <t>Terrorism</t>
  </si>
  <si>
    <t>Political Risks</t>
  </si>
  <si>
    <t>SABOTAGE &amp;amp; TERRORISM &amp;amp; Political Violence</t>
  </si>
  <si>
    <t>KG-CAR</t>
  </si>
  <si>
    <t>OPP1900001947</t>
  </si>
  <si>
    <t>G R -CAR</t>
  </si>
  <si>
    <t>OPP1900001950</t>
  </si>
  <si>
    <t>SI-CAR</t>
  </si>
  <si>
    <t>OPP1900001975</t>
  </si>
  <si>
    <t>GRTC-CAR</t>
  </si>
  <si>
    <t>OPP1900001976</t>
  </si>
  <si>
    <t>PDBI</t>
  </si>
  <si>
    <t>OPP1900002004</t>
  </si>
  <si>
    <t>Infra-CAR</t>
  </si>
  <si>
    <t>OPP1900002039</t>
  </si>
  <si>
    <t>OPP1900002070</t>
  </si>
  <si>
    <t>PI(Operational Road)</t>
  </si>
  <si>
    <t>OPP1900002092</t>
  </si>
  <si>
    <t>SFSP</t>
  </si>
  <si>
    <t>OPP1900002098</t>
  </si>
  <si>
    <t>VS.-D &amp; O</t>
  </si>
  <si>
    <t>OPP1900002104</t>
  </si>
  <si>
    <t>Director &amp;amp; Officers / Management  Liability</t>
  </si>
  <si>
    <t>Count of invoice_number</t>
  </si>
  <si>
    <t>Row Labels</t>
  </si>
  <si>
    <t>Grand Total</t>
  </si>
  <si>
    <t>Column Labels</t>
  </si>
  <si>
    <t>2019</t>
  </si>
  <si>
    <t>2020</t>
  </si>
  <si>
    <t>Sum of revenue_amount</t>
  </si>
  <si>
    <t>Sum of New Budget</t>
  </si>
  <si>
    <t>Sum of Cross sell bugdet</t>
  </si>
  <si>
    <t>Sum of Renewal Budget</t>
  </si>
  <si>
    <t>Income Class</t>
  </si>
  <si>
    <t>Target</t>
  </si>
  <si>
    <t>Sum of Amount</t>
  </si>
  <si>
    <t>From the Brokerage Table</t>
  </si>
  <si>
    <t>From the Fees Table</t>
  </si>
  <si>
    <t>From the Individual Budget</t>
  </si>
  <si>
    <t>Income</t>
  </si>
  <si>
    <t>Achieved</t>
  </si>
  <si>
    <t>From the Invoice Table</t>
  </si>
  <si>
    <t>Invoice</t>
  </si>
  <si>
    <t>Achievement %</t>
  </si>
  <si>
    <t>Invoice %</t>
  </si>
  <si>
    <t>FINAL TABLE TO USE</t>
  </si>
  <si>
    <t>Count of opportunity_id</t>
  </si>
  <si>
    <t>Total Opportunity</t>
  </si>
  <si>
    <t>Total Open Opportunity</t>
  </si>
  <si>
    <t>Count of meeting_date (Year)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</si>
</sst>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quot;M&quot;"/>
    <numFmt numFmtId="165" formatCode="0,&quot;K&quot;"/>
  </numFmts>
  <fonts count="4" x14ac:knownFonts="1">
    <font>
      <sz val="11"/>
      <color theme="1"/>
      <name val="Gill Sans MT"/>
      <family val="2"/>
      <scheme val="minor"/>
    </font>
    <font>
      <b/>
      <sz val="12"/>
      <color theme="1"/>
      <name val="Gill Sans MT"/>
      <family val="2"/>
      <scheme val="minor"/>
    </font>
    <font>
      <b/>
      <sz val="16"/>
      <color theme="0"/>
      <name val="Gill Sans MT"/>
      <family val="2"/>
      <scheme val="minor"/>
    </font>
    <font>
      <b/>
      <sz val="11"/>
      <color theme="1"/>
      <name val="Gill Sans MT"/>
      <family val="2"/>
      <scheme val="minor"/>
    </font>
  </fonts>
  <fills count="6">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rgb="FFFF0000"/>
        <bgColor indexed="64"/>
      </patternFill>
    </fill>
    <fill>
      <patternFill patternType="solid">
        <fgColor theme="4" tint="0.79998168889431442"/>
        <bgColor theme="4" tint="0.79998168889431442"/>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thin">
        <color theme="4" tint="0.39997558519241921"/>
      </top>
      <bottom/>
      <diagonal/>
    </border>
  </borders>
  <cellStyleXfs count="1">
    <xf numFmtId="0" fontId="0" fillId="0" borderId="0"/>
  </cellStyleXfs>
  <cellXfs count="18">
    <xf numFmtId="0" fontId="0" fillId="0" borderId="0" xfId="0"/>
    <xf numFmtId="22" fontId="0" fillId="0" borderId="0" xfId="0" applyNumberFormat="1"/>
    <xf numFmtId="0"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1" fillId="2" borderId="1" xfId="0"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xf numFmtId="10" fontId="0" fillId="3" borderId="1" xfId="0" applyNumberFormat="1" applyFill="1" applyBorder="1" applyAlignment="1">
      <alignment horizontal="center" vertical="center"/>
    </xf>
    <xf numFmtId="164" fontId="0" fillId="3" borderId="1" xfId="0" applyNumberFormat="1" applyFill="1" applyBorder="1"/>
    <xf numFmtId="0" fontId="0" fillId="0" borderId="1" xfId="0" applyBorder="1" applyAlignment="1">
      <alignment horizontal="left"/>
    </xf>
    <xf numFmtId="164" fontId="0" fillId="0" borderId="1" xfId="0" applyNumberFormat="1" applyBorder="1"/>
    <xf numFmtId="165" fontId="0" fillId="0" borderId="0" xfId="0" applyNumberFormat="1"/>
    <xf numFmtId="0" fontId="1" fillId="2" borderId="0" xfId="0" applyFont="1" applyFill="1" applyAlignment="1">
      <alignment horizontal="center"/>
    </xf>
    <xf numFmtId="0" fontId="1" fillId="2" borderId="0" xfId="0" applyFont="1" applyFill="1" applyAlignment="1">
      <alignment horizontal="center" vertical="center"/>
    </xf>
    <xf numFmtId="0" fontId="2" fillId="4" borderId="1" xfId="0" applyFont="1" applyFill="1" applyBorder="1" applyAlignment="1">
      <alignment horizontal="center"/>
    </xf>
    <xf numFmtId="0" fontId="3" fillId="5" borderId="2" xfId="0" applyNumberFormat="1" applyFont="1" applyFill="1" applyBorder="1"/>
  </cellXfs>
  <cellStyles count="1">
    <cellStyle name="Normal" xfId="0" builtinId="0"/>
  </cellStyles>
  <dxfs count="164">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27" formatCode="dd/mm/yyyy\ hh:mm"/>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fill>
        <patternFill>
          <bgColor rgb="FF00B050"/>
        </patternFill>
      </fill>
    </dxf>
    <dxf>
      <numFmt numFmtId="164" formatCode="0.0,,&quot;M&quot;"/>
    </dxf>
    <dxf>
      <numFmt numFmtId="164" formatCode="0.0,,&quot;M&quot;"/>
    </dxf>
    <dxf>
      <numFmt numFmtId="164" formatCode="0.0,,&quot;M&quot;"/>
    </dxf>
    <dxf>
      <numFmt numFmtId="165" formatCode="0,&quot;K&quot;"/>
    </dxf>
    <dxf>
      <numFmt numFmtId="165" formatCode="0,&quot;K&quot;"/>
    </dxf>
    <dxf>
      <numFmt numFmtId="165" formatCode="0,&quot;K&quot;"/>
    </dxf>
    <dxf>
      <numFmt numFmtId="165" formatCode="0,&quot;K&quot;"/>
    </dxf>
    <dxf>
      <numFmt numFmtId="165" formatCode="0,&quot;K&quot;"/>
    </dxf>
    <dxf>
      <numFmt numFmtId="164" formatCode="0.0,,&quot;M&quot;"/>
    </dxf>
    <dxf>
      <numFmt numFmtId="164" formatCode="0.0,,&quot;M&quot;"/>
    </dxf>
    <dxf>
      <numFmt numFmtId="164" formatCode="0.0,,&quot;M&quot;"/>
    </dxf>
    <dxf>
      <numFmt numFmtId="164" formatCode="0.0,,&quot;M&quot;"/>
    </dxf>
    <dxf>
      <numFmt numFmtId="164" formatCode="0.0,,&quot;M&quot;"/>
    </dxf>
    <dxf>
      <numFmt numFmtId="164" formatCode="0.0,,&quot;M&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1.xml"/><Relationship Id="rId39" Type="http://schemas.openxmlformats.org/officeDocument/2006/relationships/customXml" Target="../customXml/item4.xml"/><Relationship Id="rId21" Type="http://schemas.openxmlformats.org/officeDocument/2006/relationships/pivotCacheDefinition" Target="pivotCache/pivotCacheDefinition7.xml"/><Relationship Id="rId34" Type="http://schemas.openxmlformats.org/officeDocument/2006/relationships/powerPivotData" Target="model/item.data"/><Relationship Id="rId42" Type="http://schemas.openxmlformats.org/officeDocument/2006/relationships/customXml" Target="../customXml/item7.xml"/><Relationship Id="rId47" Type="http://schemas.openxmlformats.org/officeDocument/2006/relationships/customXml" Target="../customXml/item12.xml"/><Relationship Id="rId50" Type="http://schemas.openxmlformats.org/officeDocument/2006/relationships/customXml" Target="../customXml/item1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4.xml"/><Relationship Id="rId11" Type="http://schemas.openxmlformats.org/officeDocument/2006/relationships/worksheet" Target="worksheets/sheet11.xml"/><Relationship Id="rId24" Type="http://schemas.openxmlformats.org/officeDocument/2006/relationships/pivotCacheDefinition" Target="pivotCache/pivotCacheDefinition10.xml"/><Relationship Id="rId32" Type="http://schemas.openxmlformats.org/officeDocument/2006/relationships/styles" Target="styles.xml"/><Relationship Id="rId37" Type="http://schemas.openxmlformats.org/officeDocument/2006/relationships/customXml" Target="../customXml/item2.xml"/><Relationship Id="rId40" Type="http://schemas.openxmlformats.org/officeDocument/2006/relationships/customXml" Target="../customXml/item5.xml"/><Relationship Id="rId45" Type="http://schemas.openxmlformats.org/officeDocument/2006/relationships/customXml" Target="../customXml/item10.xml"/><Relationship Id="rId53" Type="http://schemas.openxmlformats.org/officeDocument/2006/relationships/customXml" Target="../customXml/item18.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pivotCacheDefinition" Target="pivotCache/pivotCacheDefinition5.xml"/><Relationship Id="rId31" Type="http://schemas.openxmlformats.org/officeDocument/2006/relationships/connections" Target="connections.xml"/><Relationship Id="rId44" Type="http://schemas.openxmlformats.org/officeDocument/2006/relationships/customXml" Target="../customXml/item9.xml"/><Relationship Id="rId52" Type="http://schemas.openxmlformats.org/officeDocument/2006/relationships/customXml" Target="../customXml/item17.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pivotCacheDefinition" Target="pivotCache/pivotCacheDefinition8.xml"/><Relationship Id="rId27" Type="http://schemas.microsoft.com/office/2007/relationships/slicerCache" Target="slicerCaches/slicerCache2.xml"/><Relationship Id="rId30" Type="http://schemas.openxmlformats.org/officeDocument/2006/relationships/theme" Target="theme/theme1.xml"/><Relationship Id="rId35" Type="http://schemas.openxmlformats.org/officeDocument/2006/relationships/calcChain" Target="calcChain.xml"/><Relationship Id="rId43" Type="http://schemas.openxmlformats.org/officeDocument/2006/relationships/customXml" Target="../customXml/item8.xml"/><Relationship Id="rId48" Type="http://schemas.openxmlformats.org/officeDocument/2006/relationships/customXml" Target="../customXml/item13.xml"/><Relationship Id="rId8" Type="http://schemas.openxmlformats.org/officeDocument/2006/relationships/worksheet" Target="worksheets/sheet8.xml"/><Relationship Id="rId51" Type="http://schemas.openxmlformats.org/officeDocument/2006/relationships/customXml" Target="../customXml/item1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openxmlformats.org/officeDocument/2006/relationships/pivotCacheDefinition" Target="pivotCache/pivotCacheDefinition11.xml"/><Relationship Id="rId33" Type="http://schemas.openxmlformats.org/officeDocument/2006/relationships/sharedStrings" Target="sharedStrings.xml"/><Relationship Id="rId38" Type="http://schemas.openxmlformats.org/officeDocument/2006/relationships/customXml" Target="../customXml/item3.xml"/><Relationship Id="rId46" Type="http://schemas.openxmlformats.org/officeDocument/2006/relationships/customXml" Target="../customXml/item11.xml"/><Relationship Id="rId20" Type="http://schemas.openxmlformats.org/officeDocument/2006/relationships/pivotCacheDefinition" Target="pivotCache/pivotCacheDefinition6.xml"/><Relationship Id="rId41" Type="http://schemas.openxmlformats.org/officeDocument/2006/relationships/customXml" Target="../customXml/item6.xml"/><Relationship Id="rId54"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1.xml"/><Relationship Id="rId23" Type="http://schemas.openxmlformats.org/officeDocument/2006/relationships/pivotCacheDefinition" Target="pivotCache/pivotCacheDefinition9.xml"/><Relationship Id="rId28" Type="http://schemas.microsoft.com/office/2007/relationships/slicerCache" Target="slicerCaches/slicerCache3.xml"/><Relationship Id="rId36" Type="http://schemas.openxmlformats.org/officeDocument/2006/relationships/customXml" Target="../customXml/item1.xml"/><Relationship Id="rId49"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Ex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2.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Copy.xlsx]No of Invoice by Accnt Exec!PivotTable1</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Invoice by Accnt Exec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w="9525">
              <a:solidFill>
                <a:schemeClr val="accent4"/>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w="9525">
              <a:solidFill>
                <a:schemeClr val="accent6"/>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pivotFmt>
      <c:pivotFmt>
        <c:idx val="1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 of Invoice by Accnt Exec'!$B$3:$B$4</c:f>
              <c:strCache>
                <c:ptCount val="1"/>
                <c:pt idx="0">
                  <c:v>Cross Sell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Exec'!$B$5:$B$13</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9-ECE2-4320-B3EB-9EC32DEBC008}"/>
            </c:ext>
          </c:extLst>
        </c:ser>
        <c:ser>
          <c:idx val="1"/>
          <c:order val="1"/>
          <c:tx>
            <c:strRef>
              <c:f>'No of Invoice by Accnt Exec'!$C$3:$C$4</c:f>
              <c:strCache>
                <c:ptCount val="1"/>
                <c:pt idx="0">
                  <c:v>New</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Exec'!$C$5:$C$13</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0-9E5C-4608-8FA1-2152722C129F}"/>
            </c:ext>
          </c:extLst>
        </c:ser>
        <c:ser>
          <c:idx val="2"/>
          <c:order val="2"/>
          <c:tx>
            <c:strRef>
              <c:f>'No of Invoice by Accnt Exec'!$D$3:$D$4</c:f>
              <c:strCache>
                <c:ptCount val="1"/>
                <c:pt idx="0">
                  <c:v>Renewal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Exec'!$D$5:$D$13</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1-9E5C-4608-8FA1-2152722C129F}"/>
            </c:ext>
          </c:extLst>
        </c:ser>
        <c:dLbls>
          <c:dLblPos val="ctr"/>
          <c:showLegendKey val="0"/>
          <c:showVal val="1"/>
          <c:showCatName val="0"/>
          <c:showSerName val="0"/>
          <c:showPercent val="0"/>
          <c:showBubbleSize val="0"/>
        </c:dLbls>
        <c:gapWidth val="150"/>
        <c:overlap val="100"/>
        <c:axId val="1896298863"/>
        <c:axId val="1897462959"/>
      </c:barChart>
      <c:catAx>
        <c:axId val="1896298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7462959"/>
        <c:crosses val="autoZero"/>
        <c:auto val="1"/>
        <c:lblAlgn val="ctr"/>
        <c:lblOffset val="100"/>
        <c:noMultiLvlLbl val="0"/>
      </c:catAx>
      <c:valAx>
        <c:axId val="1897462959"/>
        <c:scaling>
          <c:orientation val="minMax"/>
        </c:scaling>
        <c:delete val="1"/>
        <c:axPos val="b"/>
        <c:numFmt formatCode="General" sourceLinked="1"/>
        <c:majorTickMark val="none"/>
        <c:minorTickMark val="none"/>
        <c:tickLblPos val="nextTo"/>
        <c:crossAx val="18962988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Copy.xlsx]Opportunity Product Distirbutio!PivotTable4</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Opportunity Product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'Opportunity Product Distirbutio'!$B$2</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DD19-47EC-AC1F-C9A603BBF3A3}"/>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DD19-47EC-AC1F-C9A603BBF3A3}"/>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DD19-47EC-AC1F-C9A603BBF3A3}"/>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DD19-47EC-AC1F-C9A603BBF3A3}"/>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DD19-47EC-AC1F-C9A603BBF3A3}"/>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DD19-47EC-AC1F-C9A603BBF3A3}"/>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DD19-47EC-AC1F-C9A603BBF3A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'Opportunity Product Distirbutio'!$A$3:$A$10</c:f>
              <c:strCache>
                <c:ptCount val="7"/>
                <c:pt idx="0">
                  <c:v>Employee Benefits</c:v>
                </c:pt>
                <c:pt idx="1">
                  <c:v>Engineering</c:v>
                </c:pt>
                <c:pt idx="2">
                  <c:v>Fire</c:v>
                </c:pt>
                <c:pt idx="3">
                  <c:v>Liability</c:v>
                </c:pt>
                <c:pt idx="4">
                  <c:v>Marine</c:v>
                </c:pt>
                <c:pt idx="5">
                  <c:v>Miscellaneous</c:v>
                </c:pt>
                <c:pt idx="6">
                  <c:v>Terrorism</c:v>
                </c:pt>
              </c:strCache>
            </c:strRef>
          </c:cat>
          <c:val>
            <c:numRef>
              <c:f>'Opportunity Product Distirbutio'!$B$3:$B$10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03-5D1A-4BB3-B678-B1ACB1530684}"/>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Copy.xlsx]Yearly Meeting Count!PivotTable3</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Yearly Meeting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plotArea>
      <c:layout/>
      <c:doughnutChart>
        <c:varyColors val="1"/>
        <c:ser>
          <c:idx val="0"/>
          <c:order val="0"/>
          <c:tx>
            <c:strRef>
              <c:f>'Yearly Meeting Count'!$B$3</c:f>
              <c:strCache>
                <c:ptCount val="1"/>
                <c:pt idx="0">
                  <c:v>Total</c:v>
                </c:pt>
              </c:strCache>
            </c:strRef>
          </c:tx>
          <c:dPt>
            <c:idx val="0"/>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80DA-4898-A6FC-97C2A762D4D5}"/>
              </c:ext>
            </c:extLst>
          </c:dPt>
          <c:dPt>
            <c:idx val="1"/>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80DA-4898-A6FC-97C2A762D4D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'Yearly Meeting Count'!$A$4:$A$6</c:f>
              <c:strCache>
                <c:ptCount val="2"/>
                <c:pt idx="0">
                  <c:v>2019</c:v>
                </c:pt>
                <c:pt idx="1">
                  <c:v>2020</c:v>
                </c:pt>
              </c:strCache>
            </c:strRef>
          </c:cat>
          <c:val>
            <c:numRef>
              <c:f>'Yearly Meeting Count'!$B$4:$B$6</c:f>
              <c:numCache>
                <c:formatCode>General</c:formatCode>
                <c:ptCount val="2"/>
                <c:pt idx="0">
                  <c:v>3</c:v>
                </c:pt>
                <c:pt idx="1">
                  <c:v>31</c:v>
                </c:pt>
              </c:numCache>
            </c:numRef>
          </c:val>
          <c:extLst>
            <c:ext xmlns:c16="http://schemas.microsoft.com/office/drawing/2014/chart" uri="{C3380CC4-5D6E-409C-BE32-E72D297353CC}">
              <c16:uniqueId val="{00000003-A5A7-4CF8-A754-E0A2E5D8B93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Copy.xlsx]No of meeting By Account Exe!PivotTable6</c:name>
    <c:fmtId val="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800" b="1" i="0" baseline="0">
                <a:effectLst/>
              </a:rPr>
              <a:t>No of meeting By Account Exe</a:t>
            </a:r>
            <a:endParaRPr lang="en-US">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'No of meeting By Account Exe'!$B$3</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 By Account Exe'!$A$4:$A$13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 By Account Exe'!$B$4:$B$13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3-F1DE-4D46-AFEA-780249D4223D}"/>
            </c:ext>
          </c:extLst>
        </c:ser>
        <c:dLbls>
          <c:dLblPos val="outEnd"/>
          <c:showLegendKey val="0"/>
          <c:showVal val="1"/>
          <c:showCatName val="0"/>
          <c:showSerName val="0"/>
          <c:showPercent val="0"/>
          <c:showBubbleSize val="0"/>
        </c:dLbls>
        <c:gapWidth val="115"/>
        <c:overlap val="-20"/>
        <c:axId val="291419311"/>
        <c:axId val="1049647695"/>
      </c:barChart>
      <c:catAx>
        <c:axId val="291419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49647695"/>
        <c:crosses val="autoZero"/>
        <c:auto val="1"/>
        <c:lblAlgn val="ctr"/>
        <c:lblOffset val="100"/>
        <c:noMultiLvlLbl val="0"/>
      </c:catAx>
      <c:valAx>
        <c:axId val="1049647695"/>
        <c:scaling>
          <c:orientation val="minMax"/>
        </c:scaling>
        <c:delete val="1"/>
        <c:axPos val="b"/>
        <c:numFmt formatCode="General" sourceLinked="1"/>
        <c:majorTickMark val="none"/>
        <c:minorTickMark val="none"/>
        <c:tickLblPos val="nextTo"/>
        <c:crossAx val="29141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Copy.xlsx]Top Open Opportunity!PivotTable5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Top 5 Open Opportunity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Open Opportunity'!$B$2</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Opportunity'!$A$3:$A$7</c:f>
              <c:strCache>
                <c:ptCount val="4"/>
                <c:pt idx="0">
                  <c:v>CVP GMC</c:v>
                </c:pt>
                <c:pt idx="1">
                  <c:v>DB -Mega Policy</c:v>
                </c:pt>
                <c:pt idx="2">
                  <c:v>EL-Group Mediclaim</c:v>
                </c:pt>
                <c:pt idx="3">
                  <c:v>Fire</c:v>
                </c:pt>
              </c:strCache>
            </c:strRef>
          </c:cat>
          <c:val>
            <c:numRef>
              <c:f>'Top Open Opportunity'!$B$3:$B$7</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3-F491-412F-967E-19642BF25D91}"/>
            </c:ext>
          </c:extLst>
        </c:ser>
        <c:dLbls>
          <c:dLblPos val="outEnd"/>
          <c:showLegendKey val="0"/>
          <c:showVal val="1"/>
          <c:showCatName val="0"/>
          <c:showSerName val="0"/>
          <c:showPercent val="0"/>
          <c:showBubbleSize val="0"/>
        </c:dLbls>
        <c:gapWidth val="115"/>
        <c:overlap val="-20"/>
        <c:axId val="1896303263"/>
        <c:axId val="2116516127"/>
      </c:barChart>
      <c:catAx>
        <c:axId val="1896303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16516127"/>
        <c:crosses val="autoZero"/>
        <c:auto val="1"/>
        <c:lblAlgn val="ctr"/>
        <c:lblOffset val="100"/>
        <c:noMultiLvlLbl val="0"/>
      </c:catAx>
      <c:valAx>
        <c:axId val="2116516127"/>
        <c:scaling>
          <c:orientation val="minMax"/>
        </c:scaling>
        <c:delete val="1"/>
        <c:axPos val="b"/>
        <c:numFmt formatCode="0,&quot;K&quot;" sourceLinked="1"/>
        <c:majorTickMark val="none"/>
        <c:minorTickMark val="none"/>
        <c:tickLblPos val="nextTo"/>
        <c:crossAx val="189630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3'!$B$8:$D$8</c:f>
              <c:numCache>
                <c:formatCode>0.0,,"M"</c:formatCode>
                <c:ptCount val="3"/>
                <c:pt idx="0">
                  <c:v>19673793</c:v>
                </c:pt>
                <c:pt idx="1">
                  <c:v>3531629.3099999991</c:v>
                </c:pt>
                <c:pt idx="2">
                  <c:v>827822</c:v>
                </c:pt>
              </c:numCache>
            </c:numRef>
          </c:val>
          <c:extLst>
            <c:ext xmlns:c16="http://schemas.microsoft.com/office/drawing/2014/chart" uri="{C3380CC4-5D6E-409C-BE32-E72D297353CC}">
              <c16:uniqueId val="{00000000-B3E2-4D7F-9AA3-32CE9F4282EC}"/>
            </c:ext>
          </c:extLst>
        </c:ser>
        <c:dLbls>
          <c:dLblPos val="outEnd"/>
          <c:showLegendKey val="0"/>
          <c:showVal val="1"/>
          <c:showCatName val="0"/>
          <c:showSerName val="0"/>
          <c:showPercent val="0"/>
          <c:showBubbleSize val="0"/>
        </c:dLbls>
        <c:gapWidth val="115"/>
        <c:overlap val="-20"/>
        <c:axId val="1827091743"/>
        <c:axId val="1895233215"/>
      </c:barChart>
      <c:catAx>
        <c:axId val="1827091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233215"/>
        <c:crosses val="autoZero"/>
        <c:auto val="1"/>
        <c:lblAlgn val="ctr"/>
        <c:lblOffset val="100"/>
        <c:noMultiLvlLbl val="0"/>
      </c:catAx>
      <c:valAx>
        <c:axId val="1895233215"/>
        <c:scaling>
          <c:orientation val="minMax"/>
        </c:scaling>
        <c:delete val="1"/>
        <c:axPos val="b"/>
        <c:numFmt formatCode="0.0,,&quot;M&quot;" sourceLinked="1"/>
        <c:majorTickMark val="none"/>
        <c:minorTickMark val="none"/>
        <c:tickLblPos val="nextTo"/>
        <c:crossAx val="18270917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Cross Sell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3'!$B$9:$D$9</c:f>
              <c:numCache>
                <c:formatCode>0.0,,"M"</c:formatCode>
                <c:ptCount val="3"/>
                <c:pt idx="0">
                  <c:v>20083111</c:v>
                </c:pt>
                <c:pt idx="1">
                  <c:v>11864802.119999994</c:v>
                </c:pt>
                <c:pt idx="2">
                  <c:v>3040813</c:v>
                </c:pt>
              </c:numCache>
            </c:numRef>
          </c:val>
          <c:extLst>
            <c:ext xmlns:c16="http://schemas.microsoft.com/office/drawing/2014/chart" uri="{C3380CC4-5D6E-409C-BE32-E72D297353CC}">
              <c16:uniqueId val="{00000000-747F-4FD6-8FA6-9F1C2F9F5FEF}"/>
            </c:ext>
          </c:extLst>
        </c:ser>
        <c:dLbls>
          <c:dLblPos val="outEnd"/>
          <c:showLegendKey val="0"/>
          <c:showVal val="1"/>
          <c:showCatName val="0"/>
          <c:showSerName val="0"/>
          <c:showPercent val="0"/>
          <c:showBubbleSize val="0"/>
        </c:dLbls>
        <c:gapWidth val="115"/>
        <c:overlap val="-20"/>
        <c:axId val="1827030943"/>
        <c:axId val="1895247359"/>
      </c:barChart>
      <c:catAx>
        <c:axId val="1827030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247359"/>
        <c:crosses val="autoZero"/>
        <c:auto val="1"/>
        <c:lblAlgn val="ctr"/>
        <c:lblOffset val="100"/>
        <c:noMultiLvlLbl val="0"/>
      </c:catAx>
      <c:valAx>
        <c:axId val="1895247359"/>
        <c:scaling>
          <c:orientation val="minMax"/>
        </c:scaling>
        <c:delete val="1"/>
        <c:axPos val="b"/>
        <c:numFmt formatCode="0.0,,&quot;M&quot;" sourceLinked="1"/>
        <c:majorTickMark val="none"/>
        <c:minorTickMark val="none"/>
        <c:tickLblPos val="nextTo"/>
        <c:crossAx val="18270309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Renewal</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3'!$B$10:$D$10</c:f>
              <c:numCache>
                <c:formatCode>0.0,,"M"</c:formatCode>
                <c:ptCount val="3"/>
                <c:pt idx="0">
                  <c:v>12319455</c:v>
                </c:pt>
                <c:pt idx="1">
                  <c:v>18493109.900000013</c:v>
                </c:pt>
                <c:pt idx="2">
                  <c:v>8394071</c:v>
                </c:pt>
              </c:numCache>
            </c:numRef>
          </c:val>
          <c:extLst>
            <c:ext xmlns:c16="http://schemas.microsoft.com/office/drawing/2014/chart" uri="{C3380CC4-5D6E-409C-BE32-E72D297353CC}">
              <c16:uniqueId val="{00000000-C326-4D31-BD9D-0B01F6F9DC43}"/>
            </c:ext>
          </c:extLst>
        </c:ser>
        <c:dLbls>
          <c:dLblPos val="outEnd"/>
          <c:showLegendKey val="0"/>
          <c:showVal val="1"/>
          <c:showCatName val="0"/>
          <c:showSerName val="0"/>
          <c:showPercent val="0"/>
          <c:showBubbleSize val="0"/>
        </c:dLbls>
        <c:gapWidth val="115"/>
        <c:overlap val="-20"/>
        <c:axId val="1827138143"/>
        <c:axId val="1895188287"/>
      </c:barChart>
      <c:catAx>
        <c:axId val="1827138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95188287"/>
        <c:crosses val="autoZero"/>
        <c:auto val="1"/>
        <c:lblAlgn val="ctr"/>
        <c:lblOffset val="100"/>
        <c:noMultiLvlLbl val="0"/>
      </c:catAx>
      <c:valAx>
        <c:axId val="1895188287"/>
        <c:scaling>
          <c:orientation val="minMax"/>
        </c:scaling>
        <c:delete val="1"/>
        <c:axPos val="b"/>
        <c:numFmt formatCode="0.0,,&quot;M&quot;" sourceLinked="1"/>
        <c:majorTickMark val="none"/>
        <c:minorTickMark val="none"/>
        <c:tickLblPos val="nextTo"/>
        <c:crossAx val="18271381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3'!$B$8:$D$8</c:f>
              <c:numCache>
                <c:formatCode>0.0,,"M"</c:formatCode>
                <c:ptCount val="3"/>
                <c:pt idx="0">
                  <c:v>19673793</c:v>
                </c:pt>
                <c:pt idx="1">
                  <c:v>3531629.3099999991</c:v>
                </c:pt>
                <c:pt idx="2">
                  <c:v>827822</c:v>
                </c:pt>
              </c:numCache>
            </c:numRef>
          </c:val>
          <c:extLst>
            <c:ext xmlns:c16="http://schemas.microsoft.com/office/drawing/2014/chart" uri="{C3380CC4-5D6E-409C-BE32-E72D297353CC}">
              <c16:uniqueId val="{00000000-E2F5-4BA0-8643-37A5AE365D5E}"/>
            </c:ext>
          </c:extLst>
        </c:ser>
        <c:dLbls>
          <c:dLblPos val="outEnd"/>
          <c:showLegendKey val="0"/>
          <c:showVal val="1"/>
          <c:showCatName val="0"/>
          <c:showSerName val="0"/>
          <c:showPercent val="0"/>
          <c:showBubbleSize val="0"/>
        </c:dLbls>
        <c:gapWidth val="115"/>
        <c:overlap val="-20"/>
        <c:axId val="1827091743"/>
        <c:axId val="1895233215"/>
      </c:barChart>
      <c:catAx>
        <c:axId val="18270917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5233215"/>
        <c:crosses val="autoZero"/>
        <c:auto val="1"/>
        <c:lblAlgn val="ctr"/>
        <c:lblOffset val="100"/>
        <c:noMultiLvlLbl val="0"/>
      </c:catAx>
      <c:valAx>
        <c:axId val="1895233215"/>
        <c:scaling>
          <c:orientation val="minMax"/>
        </c:scaling>
        <c:delete val="1"/>
        <c:axPos val="b"/>
        <c:numFmt formatCode="0.0,,&quot;M&quot;" sourceLinked="1"/>
        <c:majorTickMark val="none"/>
        <c:minorTickMark val="none"/>
        <c:tickLblPos val="nextTo"/>
        <c:crossAx val="18270917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3'!$B$9:$D$9</c:f>
              <c:numCache>
                <c:formatCode>0.0,,"M"</c:formatCode>
                <c:ptCount val="3"/>
                <c:pt idx="0">
                  <c:v>20083111</c:v>
                </c:pt>
                <c:pt idx="1">
                  <c:v>11864802.119999994</c:v>
                </c:pt>
                <c:pt idx="2">
                  <c:v>3040813</c:v>
                </c:pt>
              </c:numCache>
            </c:numRef>
          </c:val>
          <c:extLst>
            <c:ext xmlns:c16="http://schemas.microsoft.com/office/drawing/2014/chart" uri="{C3380CC4-5D6E-409C-BE32-E72D297353CC}">
              <c16:uniqueId val="{00000000-E74A-4446-A569-3CE598E2F2CF}"/>
            </c:ext>
          </c:extLst>
        </c:ser>
        <c:dLbls>
          <c:dLblPos val="outEnd"/>
          <c:showLegendKey val="0"/>
          <c:showVal val="1"/>
          <c:showCatName val="0"/>
          <c:showSerName val="0"/>
          <c:showPercent val="0"/>
          <c:showBubbleSize val="0"/>
        </c:dLbls>
        <c:gapWidth val="115"/>
        <c:overlap val="-20"/>
        <c:axId val="1827030943"/>
        <c:axId val="1895247359"/>
      </c:barChart>
      <c:catAx>
        <c:axId val="18270309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5247359"/>
        <c:crosses val="autoZero"/>
        <c:auto val="1"/>
        <c:lblAlgn val="ctr"/>
        <c:lblOffset val="100"/>
        <c:noMultiLvlLbl val="0"/>
      </c:catAx>
      <c:valAx>
        <c:axId val="1895247359"/>
        <c:scaling>
          <c:orientation val="minMax"/>
        </c:scaling>
        <c:delete val="1"/>
        <c:axPos val="b"/>
        <c:numFmt formatCode="0.0,,&quot;M&quot;" sourceLinked="1"/>
        <c:majorTickMark val="none"/>
        <c:minorTickMark val="none"/>
        <c:tickLblPos val="nextTo"/>
        <c:crossAx val="18270309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dLbl>
              <c:idx val="1"/>
              <c:layout>
                <c:manualLayout>
                  <c:x val="-3.8133145329920766E-3"/>
                  <c:y val="-0.14515255524764736"/>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31DE-49A7-AB9B-975DD6CA302C}"/>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 3'!$B$7:$D$7</c:f>
              <c:strCache>
                <c:ptCount val="3"/>
                <c:pt idx="0">
                  <c:v>Target</c:v>
                </c:pt>
                <c:pt idx="1">
                  <c:v>Achieved</c:v>
                </c:pt>
                <c:pt idx="2">
                  <c:v>Invoice</c:v>
                </c:pt>
              </c:strCache>
            </c:strRef>
          </c:cat>
          <c:val>
            <c:numRef>
              <c:f>'KPI 3'!$B$10:$D$10</c:f>
              <c:numCache>
                <c:formatCode>0.0,,"M"</c:formatCode>
                <c:ptCount val="3"/>
                <c:pt idx="0">
                  <c:v>12319455</c:v>
                </c:pt>
                <c:pt idx="1">
                  <c:v>18493109.900000013</c:v>
                </c:pt>
                <c:pt idx="2">
                  <c:v>8394071</c:v>
                </c:pt>
              </c:numCache>
            </c:numRef>
          </c:val>
          <c:extLst>
            <c:ext xmlns:c16="http://schemas.microsoft.com/office/drawing/2014/chart" uri="{C3380CC4-5D6E-409C-BE32-E72D297353CC}">
              <c16:uniqueId val="{00000000-F769-4BE5-9A41-B91F83E6CB87}"/>
            </c:ext>
          </c:extLst>
        </c:ser>
        <c:dLbls>
          <c:dLblPos val="outEnd"/>
          <c:showLegendKey val="0"/>
          <c:showVal val="1"/>
          <c:showCatName val="0"/>
          <c:showSerName val="0"/>
          <c:showPercent val="0"/>
          <c:showBubbleSize val="0"/>
        </c:dLbls>
        <c:gapWidth val="115"/>
        <c:overlap val="-20"/>
        <c:axId val="1827138143"/>
        <c:axId val="1895188287"/>
      </c:barChart>
      <c:catAx>
        <c:axId val="182713814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crossAx val="1895188287"/>
        <c:crosses val="autoZero"/>
        <c:auto val="1"/>
        <c:lblAlgn val="ctr"/>
        <c:lblOffset val="100"/>
        <c:noMultiLvlLbl val="0"/>
      </c:catAx>
      <c:valAx>
        <c:axId val="1895188287"/>
        <c:scaling>
          <c:orientation val="minMax"/>
        </c:scaling>
        <c:delete val="1"/>
        <c:axPos val="b"/>
        <c:numFmt formatCode="0.0,,&quot;M&quot;" sourceLinked="1"/>
        <c:majorTickMark val="none"/>
        <c:minorTickMark val="none"/>
        <c:tickLblPos val="nextTo"/>
        <c:crossAx val="1827138143"/>
        <c:crosses val="autoZero"/>
        <c:crossBetween val="between"/>
      </c:valAx>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Copy.xlsx]No of Invoice by Accnt Exec!PivotTable1</c:name>
    <c:fmtId val="5"/>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200" b="1">
                <a:solidFill>
                  <a:schemeClr val="bg1"/>
                </a:solidFill>
              </a:rPr>
              <a:t>No of Invoice by Accnt Exec</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w="9525">
              <a:solidFill>
                <a:schemeClr val="accent4"/>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w="9525">
              <a:solidFill>
                <a:schemeClr val="accent6"/>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pivotFmt>
      <c:pivotFmt>
        <c:idx val="1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'No of Invoice by Accnt Exec'!$B$3:$B$4</c:f>
              <c:strCache>
                <c:ptCount val="1"/>
                <c:pt idx="0">
                  <c:v>Cross Sell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Exec'!$B$5:$B$13</c:f>
              <c:numCache>
                <c:formatCode>General</c:formatCode>
                <c:ptCount val="8"/>
                <c:pt idx="0">
                  <c:v>10</c:v>
                </c:pt>
                <c:pt idx="1">
                  <c:v>20</c:v>
                </c:pt>
                <c:pt idx="3">
                  <c:v>2</c:v>
                </c:pt>
                <c:pt idx="4">
                  <c:v>9</c:v>
                </c:pt>
                <c:pt idx="5">
                  <c:v>2</c:v>
                </c:pt>
                <c:pt idx="6">
                  <c:v>12</c:v>
                </c:pt>
                <c:pt idx="7">
                  <c:v>19</c:v>
                </c:pt>
              </c:numCache>
            </c:numRef>
          </c:val>
          <c:extLst>
            <c:ext xmlns:c16="http://schemas.microsoft.com/office/drawing/2014/chart" uri="{C3380CC4-5D6E-409C-BE32-E72D297353CC}">
              <c16:uniqueId val="{00000009-FC41-43B0-AB92-ABB7D26F8DA3}"/>
            </c:ext>
          </c:extLst>
        </c:ser>
        <c:ser>
          <c:idx val="1"/>
          <c:order val="1"/>
          <c:tx>
            <c:strRef>
              <c:f>'No of Invoice by Accnt Exec'!$C$3:$C$4</c:f>
              <c:strCache>
                <c:ptCount val="1"/>
                <c:pt idx="0">
                  <c:v>New</c:v>
                </c:pt>
              </c:strCache>
            </c:strRef>
          </c:tx>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Exec'!$C$5:$C$13</c:f>
              <c:numCache>
                <c:formatCode>General</c:formatCode>
                <c:ptCount val="8"/>
                <c:pt idx="2">
                  <c:v>2</c:v>
                </c:pt>
                <c:pt idx="3">
                  <c:v>15</c:v>
                </c:pt>
                <c:pt idx="4">
                  <c:v>9</c:v>
                </c:pt>
                <c:pt idx="5">
                  <c:v>1</c:v>
                </c:pt>
                <c:pt idx="7">
                  <c:v>1</c:v>
                </c:pt>
              </c:numCache>
            </c:numRef>
          </c:val>
          <c:extLst>
            <c:ext xmlns:c16="http://schemas.microsoft.com/office/drawing/2014/chart" uri="{C3380CC4-5D6E-409C-BE32-E72D297353CC}">
              <c16:uniqueId val="{00000000-B4E1-4981-A395-54D0EF463BA7}"/>
            </c:ext>
          </c:extLst>
        </c:ser>
        <c:ser>
          <c:idx val="2"/>
          <c:order val="2"/>
          <c:tx>
            <c:strRef>
              <c:f>'No of Invoice by Accnt Exec'!$D$3:$D$4</c:f>
              <c:strCache>
                <c:ptCount val="1"/>
                <c:pt idx="0">
                  <c:v>Renewal</c:v>
                </c:pt>
              </c:strCache>
            </c:strRef>
          </c:tx>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Invoice by Accnt Exec'!$A$5:$A$13</c:f>
              <c:strCache>
                <c:ptCount val="8"/>
                <c:pt idx="0">
                  <c:v>Abhinav Shivam</c:v>
                </c:pt>
                <c:pt idx="1">
                  <c:v>Animesh Rawat</c:v>
                </c:pt>
                <c:pt idx="2">
                  <c:v>Gilbert</c:v>
                </c:pt>
                <c:pt idx="3">
                  <c:v>Juli</c:v>
                </c:pt>
                <c:pt idx="4">
                  <c:v>Ketan Jain</c:v>
                </c:pt>
                <c:pt idx="5">
                  <c:v>Mark</c:v>
                </c:pt>
                <c:pt idx="6">
                  <c:v>Vidit Shah</c:v>
                </c:pt>
                <c:pt idx="7">
                  <c:v>Vinay</c:v>
                </c:pt>
              </c:strCache>
            </c:strRef>
          </c:cat>
          <c:val>
            <c:numRef>
              <c:f>'No of Invoice by Accnt Exec'!$D$5:$D$13</c:f>
              <c:numCache>
                <c:formatCode>General</c:formatCode>
                <c:ptCount val="8"/>
                <c:pt idx="2">
                  <c:v>61</c:v>
                </c:pt>
                <c:pt idx="3">
                  <c:v>5</c:v>
                </c:pt>
                <c:pt idx="4">
                  <c:v>18</c:v>
                </c:pt>
                <c:pt idx="6">
                  <c:v>15</c:v>
                </c:pt>
                <c:pt idx="7">
                  <c:v>3</c:v>
                </c:pt>
              </c:numCache>
            </c:numRef>
          </c:val>
          <c:extLst>
            <c:ext xmlns:c16="http://schemas.microsoft.com/office/drawing/2014/chart" uri="{C3380CC4-5D6E-409C-BE32-E72D297353CC}">
              <c16:uniqueId val="{00000001-B4E1-4981-A395-54D0EF463BA7}"/>
            </c:ext>
          </c:extLst>
        </c:ser>
        <c:dLbls>
          <c:dLblPos val="ctr"/>
          <c:showLegendKey val="0"/>
          <c:showVal val="1"/>
          <c:showCatName val="0"/>
          <c:showSerName val="0"/>
          <c:showPercent val="0"/>
          <c:showBubbleSize val="0"/>
        </c:dLbls>
        <c:gapWidth val="150"/>
        <c:overlap val="100"/>
        <c:axId val="1896298863"/>
        <c:axId val="1897462959"/>
      </c:barChart>
      <c:catAx>
        <c:axId val="18962988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897462959"/>
        <c:crosses val="autoZero"/>
        <c:auto val="1"/>
        <c:lblAlgn val="ctr"/>
        <c:lblOffset val="100"/>
        <c:noMultiLvlLbl val="0"/>
      </c:catAx>
      <c:valAx>
        <c:axId val="1897462959"/>
        <c:scaling>
          <c:orientation val="minMax"/>
        </c:scaling>
        <c:delete val="1"/>
        <c:axPos val="b"/>
        <c:numFmt formatCode="General" sourceLinked="1"/>
        <c:majorTickMark val="none"/>
        <c:minorTickMark val="none"/>
        <c:tickLblPos val="nextTo"/>
        <c:crossAx val="1896298863"/>
        <c:crosses val="autoZero"/>
        <c:crossBetween val="between"/>
      </c:valAx>
      <c:spPr>
        <a:noFill/>
        <a:ln>
          <a:noFill/>
        </a:ln>
        <a:effectLst/>
      </c:spPr>
    </c:plotArea>
    <c:legend>
      <c:legendPos val="r"/>
      <c:layout>
        <c:manualLayout>
          <c:xMode val="edge"/>
          <c:yMode val="edge"/>
          <c:x val="0.78866624430566878"/>
          <c:y val="0.29366743696961572"/>
          <c:w val="0.15971279452137449"/>
          <c:h val="0.37387165235088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Copy.xlsx]Opportunity Product Distirbutio!PivotTable4</c:name>
    <c:fmtId val="4"/>
  </c:pivotSource>
  <c:chart>
    <c:title>
      <c:tx>
        <c:rich>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r>
              <a:rPr lang="en-US" sz="1200">
                <a:solidFill>
                  <a:schemeClr val="bg1"/>
                </a:solidFill>
              </a:rPr>
              <a:t>Opportunity Product Distribution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7"/>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8"/>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9"/>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1"/>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2"/>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3"/>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4"/>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5"/>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16"/>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'Opportunity Product Distirbutio'!$B$2</c:f>
              <c:strCache>
                <c:ptCount val="1"/>
                <c:pt idx="0">
                  <c:v>Total</c:v>
                </c:pt>
              </c:strCache>
            </c:strRef>
          </c:tx>
          <c:dPt>
            <c:idx val="0"/>
            <c:bubble3D val="0"/>
            <c:spPr>
              <a:gradFill rotWithShape="1">
                <a:gsLst>
                  <a:gs pos="0">
                    <a:schemeClr val="accent1">
                      <a:tint val="98000"/>
                      <a:satMod val="110000"/>
                      <a:lumMod val="104000"/>
                    </a:schemeClr>
                  </a:gs>
                  <a:gs pos="69000">
                    <a:schemeClr val="accent1">
                      <a:shade val="88000"/>
                      <a:satMod val="130000"/>
                      <a:lumMod val="92000"/>
                    </a:schemeClr>
                  </a:gs>
                  <a:gs pos="100000">
                    <a:schemeClr val="accent1">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286C-497E-8994-FDEFB637509E}"/>
              </c:ext>
            </c:extLst>
          </c:dPt>
          <c:dPt>
            <c:idx val="1"/>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286C-497E-8994-FDEFB637509E}"/>
              </c:ext>
            </c:extLst>
          </c:dPt>
          <c:dPt>
            <c:idx val="2"/>
            <c:bubble3D val="0"/>
            <c:spPr>
              <a:gradFill rotWithShape="1">
                <a:gsLst>
                  <a:gs pos="0">
                    <a:schemeClr val="accent3">
                      <a:tint val="98000"/>
                      <a:satMod val="110000"/>
                      <a:lumMod val="104000"/>
                    </a:schemeClr>
                  </a:gs>
                  <a:gs pos="69000">
                    <a:schemeClr val="accent3">
                      <a:shade val="88000"/>
                      <a:satMod val="130000"/>
                      <a:lumMod val="92000"/>
                    </a:schemeClr>
                  </a:gs>
                  <a:gs pos="100000">
                    <a:schemeClr val="accent3">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5-286C-497E-8994-FDEFB637509E}"/>
              </c:ext>
            </c:extLst>
          </c:dPt>
          <c:dPt>
            <c:idx val="3"/>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7-286C-497E-8994-FDEFB637509E}"/>
              </c:ext>
            </c:extLst>
          </c:dPt>
          <c:dPt>
            <c:idx val="4"/>
            <c:bubble3D val="0"/>
            <c:spPr>
              <a:gradFill rotWithShape="1">
                <a:gsLst>
                  <a:gs pos="0">
                    <a:schemeClr val="accent5">
                      <a:tint val="98000"/>
                      <a:satMod val="110000"/>
                      <a:lumMod val="104000"/>
                    </a:schemeClr>
                  </a:gs>
                  <a:gs pos="69000">
                    <a:schemeClr val="accent5">
                      <a:shade val="88000"/>
                      <a:satMod val="130000"/>
                      <a:lumMod val="92000"/>
                    </a:schemeClr>
                  </a:gs>
                  <a:gs pos="100000">
                    <a:schemeClr val="accent5">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9-286C-497E-8994-FDEFB637509E}"/>
              </c:ext>
            </c:extLst>
          </c:dPt>
          <c:dPt>
            <c:idx val="5"/>
            <c:bubble3D val="0"/>
            <c:spPr>
              <a:gradFill rotWithShape="1">
                <a:gsLst>
                  <a:gs pos="0">
                    <a:schemeClr val="accent6">
                      <a:tint val="98000"/>
                      <a:satMod val="110000"/>
                      <a:lumMod val="104000"/>
                    </a:schemeClr>
                  </a:gs>
                  <a:gs pos="69000">
                    <a:schemeClr val="accent6">
                      <a:shade val="88000"/>
                      <a:satMod val="130000"/>
                      <a:lumMod val="92000"/>
                    </a:schemeClr>
                  </a:gs>
                  <a:gs pos="100000">
                    <a:schemeClr val="accent6">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B-286C-497E-8994-FDEFB637509E}"/>
              </c:ext>
            </c:extLst>
          </c:dPt>
          <c:dPt>
            <c:idx val="6"/>
            <c:bubble3D val="0"/>
            <c:spPr>
              <a:gradFill rotWithShape="1">
                <a:gsLst>
                  <a:gs pos="0">
                    <a:schemeClr val="accent1">
                      <a:lumMod val="60000"/>
                      <a:tint val="98000"/>
                      <a:satMod val="110000"/>
                      <a:lumMod val="104000"/>
                    </a:schemeClr>
                  </a:gs>
                  <a:gs pos="69000">
                    <a:schemeClr val="accent1">
                      <a:lumMod val="60000"/>
                      <a:shade val="88000"/>
                      <a:satMod val="130000"/>
                      <a:lumMod val="92000"/>
                    </a:schemeClr>
                  </a:gs>
                  <a:gs pos="100000">
                    <a:schemeClr val="accent1">
                      <a:lumMod val="60000"/>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D-286C-497E-8994-FDEFB637509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'Opportunity Product Distirbutio'!$A$3:$A$10</c:f>
              <c:strCache>
                <c:ptCount val="7"/>
                <c:pt idx="0">
                  <c:v>Employee Benefits</c:v>
                </c:pt>
                <c:pt idx="1">
                  <c:v>Engineering</c:v>
                </c:pt>
                <c:pt idx="2">
                  <c:v>Fire</c:v>
                </c:pt>
                <c:pt idx="3">
                  <c:v>Liability</c:v>
                </c:pt>
                <c:pt idx="4">
                  <c:v>Marine</c:v>
                </c:pt>
                <c:pt idx="5">
                  <c:v>Miscellaneous</c:v>
                </c:pt>
                <c:pt idx="6">
                  <c:v>Terrorism</c:v>
                </c:pt>
              </c:strCache>
            </c:strRef>
          </c:cat>
          <c:val>
            <c:numRef>
              <c:f>'Opportunity Product Distirbutio'!$B$3:$B$10</c:f>
              <c:numCache>
                <c:formatCode>General</c:formatCode>
                <c:ptCount val="7"/>
                <c:pt idx="0">
                  <c:v>15</c:v>
                </c:pt>
                <c:pt idx="1">
                  <c:v>6</c:v>
                </c:pt>
                <c:pt idx="2">
                  <c:v>13</c:v>
                </c:pt>
                <c:pt idx="3">
                  <c:v>5</c:v>
                </c:pt>
                <c:pt idx="4">
                  <c:v>7</c:v>
                </c:pt>
                <c:pt idx="5">
                  <c:v>2</c:v>
                </c:pt>
                <c:pt idx="6">
                  <c:v>1</c:v>
                </c:pt>
              </c:numCache>
            </c:numRef>
          </c:val>
          <c:extLst>
            <c:ext xmlns:c16="http://schemas.microsoft.com/office/drawing/2014/chart" uri="{C3380CC4-5D6E-409C-BE32-E72D297353CC}">
              <c16:uniqueId val="{00000011-B9D8-4932-AF3D-4F0E755C1F2C}"/>
            </c:ext>
          </c:extLst>
        </c:ser>
        <c:dLbls>
          <c:dLblPos val="out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68680680728161991"/>
          <c:y val="0.18069297612698812"/>
          <c:w val="0.27512148330856234"/>
          <c:h val="0.7592940573663351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Copy.xlsx]Top Open Opportunity!PivotTable5</c:name>
    <c:fmtId val="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Top 5 Open Opportunity by Revenue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Open Opportunity'!$B$2</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'Top Open Opportunity'!$A$3:$A$7</c:f>
              <c:strCache>
                <c:ptCount val="4"/>
                <c:pt idx="0">
                  <c:v>CVP GMC</c:v>
                </c:pt>
                <c:pt idx="1">
                  <c:v>DB -Mega Policy</c:v>
                </c:pt>
                <c:pt idx="2">
                  <c:v>EL-Group Mediclaim</c:v>
                </c:pt>
                <c:pt idx="3">
                  <c:v>Fire</c:v>
                </c:pt>
              </c:strCache>
            </c:strRef>
          </c:cat>
          <c:val>
            <c:numRef>
              <c:f>'Top Open Opportunity'!$B$3:$B$7</c:f>
              <c:numCache>
                <c:formatCode>0,"K"</c:formatCode>
                <c:ptCount val="4"/>
                <c:pt idx="0">
                  <c:v>350000</c:v>
                </c:pt>
                <c:pt idx="1">
                  <c:v>400000</c:v>
                </c:pt>
                <c:pt idx="2">
                  <c:v>400000</c:v>
                </c:pt>
                <c:pt idx="3">
                  <c:v>500000</c:v>
                </c:pt>
              </c:numCache>
            </c:numRef>
          </c:val>
          <c:extLst>
            <c:ext xmlns:c16="http://schemas.microsoft.com/office/drawing/2014/chart" uri="{C3380CC4-5D6E-409C-BE32-E72D297353CC}">
              <c16:uniqueId val="{00000003-A414-4FA2-90AD-9F60FF830A0F}"/>
            </c:ext>
          </c:extLst>
        </c:ser>
        <c:dLbls>
          <c:dLblPos val="outEnd"/>
          <c:showLegendKey val="0"/>
          <c:showVal val="1"/>
          <c:showCatName val="0"/>
          <c:showSerName val="0"/>
          <c:showPercent val="0"/>
          <c:showBubbleSize val="0"/>
        </c:dLbls>
        <c:gapWidth val="115"/>
        <c:overlap val="-20"/>
        <c:axId val="1896303263"/>
        <c:axId val="2116516127"/>
      </c:barChart>
      <c:catAx>
        <c:axId val="1896303263"/>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116516127"/>
        <c:crosses val="autoZero"/>
        <c:auto val="1"/>
        <c:lblAlgn val="ctr"/>
        <c:lblOffset val="100"/>
        <c:noMultiLvlLbl val="0"/>
      </c:catAx>
      <c:valAx>
        <c:axId val="2116516127"/>
        <c:scaling>
          <c:orientation val="minMax"/>
        </c:scaling>
        <c:delete val="1"/>
        <c:axPos val="b"/>
        <c:numFmt formatCode="0,&quot;K&quot;" sourceLinked="1"/>
        <c:majorTickMark val="none"/>
        <c:minorTickMark val="none"/>
        <c:tickLblPos val="nextTo"/>
        <c:crossAx val="18963032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Copy.xlsx]No of meeting By Account Exe!PivotTable6</c:name>
    <c:fmtId val="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US" sz="1200" b="1" i="0" baseline="0">
                <a:solidFill>
                  <a:schemeClr val="bg1"/>
                </a:solidFill>
                <a:effectLst/>
              </a:rPr>
              <a:t>No of meeting By Account Exe</a:t>
            </a:r>
            <a:endParaRPr lang="en-US" sz="1100">
              <a:solidFill>
                <a:schemeClr val="bg1"/>
              </a:solidFill>
              <a:effectLst/>
            </a:endParaRP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diamond"/>
          <c:size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w="9525">
              <a:solidFill>
                <a:schemeClr val="accent2"/>
              </a:solidFill>
              <a:round/>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154257553963949"/>
          <c:y val="0.25347563056860045"/>
          <c:w val="0.74079264103286524"/>
          <c:h val="0.66431211233125009"/>
        </c:manualLayout>
      </c:layout>
      <c:barChart>
        <c:barDir val="bar"/>
        <c:grouping val="clustered"/>
        <c:varyColors val="0"/>
        <c:ser>
          <c:idx val="0"/>
          <c:order val="0"/>
          <c:tx>
            <c:strRef>
              <c:f>'No of meeting By Account Exe'!$B$3</c:f>
              <c:strCache>
                <c:ptCount val="1"/>
                <c:pt idx="0">
                  <c:v>Total</c:v>
                </c:pt>
              </c:strCache>
            </c:strRef>
          </c:tx>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'No of meeting By Account Exe'!$A$4:$A$13</c:f>
              <c:strCache>
                <c:ptCount val="9"/>
                <c:pt idx="0">
                  <c:v>Raju Kumar</c:v>
                </c:pt>
                <c:pt idx="1">
                  <c:v>Mark</c:v>
                </c:pt>
                <c:pt idx="2">
                  <c:v>Manish Sharma</c:v>
                </c:pt>
                <c:pt idx="3">
                  <c:v>Gilbert</c:v>
                </c:pt>
                <c:pt idx="4">
                  <c:v>Animesh Rawat</c:v>
                </c:pt>
                <c:pt idx="5">
                  <c:v>Ketan Jain</c:v>
                </c:pt>
                <c:pt idx="6">
                  <c:v>Shivani Sharma</c:v>
                </c:pt>
                <c:pt idx="7">
                  <c:v>Vinay</c:v>
                </c:pt>
                <c:pt idx="8">
                  <c:v>Abhinav Shivam</c:v>
                </c:pt>
              </c:strCache>
            </c:strRef>
          </c:cat>
          <c:val>
            <c:numRef>
              <c:f>'No of meeting By Account Exe'!$B$4:$B$13</c:f>
              <c:numCache>
                <c:formatCode>General</c:formatCode>
                <c:ptCount val="9"/>
                <c:pt idx="0">
                  <c:v>2</c:v>
                </c:pt>
                <c:pt idx="1">
                  <c:v>2</c:v>
                </c:pt>
                <c:pt idx="2">
                  <c:v>3</c:v>
                </c:pt>
                <c:pt idx="3">
                  <c:v>3</c:v>
                </c:pt>
                <c:pt idx="4">
                  <c:v>4</c:v>
                </c:pt>
                <c:pt idx="5">
                  <c:v>4</c:v>
                </c:pt>
                <c:pt idx="6">
                  <c:v>4</c:v>
                </c:pt>
                <c:pt idx="7">
                  <c:v>5</c:v>
                </c:pt>
                <c:pt idx="8">
                  <c:v>7</c:v>
                </c:pt>
              </c:numCache>
            </c:numRef>
          </c:val>
          <c:extLst>
            <c:ext xmlns:c16="http://schemas.microsoft.com/office/drawing/2014/chart" uri="{C3380CC4-5D6E-409C-BE32-E72D297353CC}">
              <c16:uniqueId val="{00000003-1B7B-43D9-9CE4-B48C5D3DB5CF}"/>
            </c:ext>
          </c:extLst>
        </c:ser>
        <c:dLbls>
          <c:dLblPos val="outEnd"/>
          <c:showLegendKey val="0"/>
          <c:showVal val="1"/>
          <c:showCatName val="0"/>
          <c:showSerName val="0"/>
          <c:showPercent val="0"/>
          <c:showBubbleSize val="0"/>
        </c:dLbls>
        <c:gapWidth val="115"/>
        <c:overlap val="-20"/>
        <c:axId val="291419311"/>
        <c:axId val="1049647695"/>
      </c:barChart>
      <c:catAx>
        <c:axId val="2914193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49647695"/>
        <c:crosses val="autoZero"/>
        <c:auto val="1"/>
        <c:lblAlgn val="ctr"/>
        <c:lblOffset val="100"/>
        <c:noMultiLvlLbl val="0"/>
      </c:catAx>
      <c:valAx>
        <c:axId val="1049647695"/>
        <c:scaling>
          <c:orientation val="minMax"/>
        </c:scaling>
        <c:delete val="1"/>
        <c:axPos val="b"/>
        <c:numFmt formatCode="General" sourceLinked="1"/>
        <c:majorTickMark val="none"/>
        <c:minorTickMark val="none"/>
        <c:tickLblPos val="nextTo"/>
        <c:crossAx val="2914193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Insurance Analytics Excel Project - Copy.xlsx]Yearly Meeting Count!PivotTable3</c:name>
    <c:fmtId val="1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100"/>
              <a:t>Yearly Meeting Count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2"/>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3"/>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5"/>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pivotFmt>
      <c:pivotFmt>
        <c:idx val="6"/>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9.6525096525096471E-2"/>
              <c:y val="-0.100308641975308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dLbl>
          <c:idx val="0"/>
          <c:layout>
            <c:manualLayout>
              <c:x val="-0.1994851994851994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'Yearly Meeting Count'!$B$3</c:f>
              <c:strCache>
                <c:ptCount val="1"/>
                <c:pt idx="0">
                  <c:v>Total</c:v>
                </c:pt>
              </c:strCache>
            </c:strRef>
          </c:tx>
          <c:dPt>
            <c:idx val="0"/>
            <c:bubble3D val="0"/>
            <c:spPr>
              <a:gradFill rotWithShape="1">
                <a:gsLst>
                  <a:gs pos="0">
                    <a:schemeClr val="accent2">
                      <a:tint val="98000"/>
                      <a:satMod val="110000"/>
                      <a:lumMod val="104000"/>
                    </a:schemeClr>
                  </a:gs>
                  <a:gs pos="69000">
                    <a:schemeClr val="accent2">
                      <a:shade val="88000"/>
                      <a:satMod val="130000"/>
                      <a:lumMod val="92000"/>
                    </a:schemeClr>
                  </a:gs>
                  <a:gs pos="100000">
                    <a:schemeClr val="accent2">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1-7AEB-41E2-A895-14E98D830659}"/>
              </c:ext>
            </c:extLst>
          </c:dPt>
          <c:dPt>
            <c:idx val="1"/>
            <c:bubble3D val="0"/>
            <c:spPr>
              <a:gradFill rotWithShape="1">
                <a:gsLst>
                  <a:gs pos="0">
                    <a:schemeClr val="accent4">
                      <a:tint val="98000"/>
                      <a:satMod val="110000"/>
                      <a:lumMod val="104000"/>
                    </a:schemeClr>
                  </a:gs>
                  <a:gs pos="69000">
                    <a:schemeClr val="accent4">
                      <a:shade val="88000"/>
                      <a:satMod val="130000"/>
                      <a:lumMod val="92000"/>
                    </a:schemeClr>
                  </a:gs>
                  <a:gs pos="100000">
                    <a:schemeClr val="accent4">
                      <a:shade val="78000"/>
                      <a:satMod val="130000"/>
                      <a:lumMod val="92000"/>
                    </a:schemeClr>
                  </a:gs>
                </a:gsLst>
                <a:lin ang="5400000" scaled="0"/>
              </a:gradFill>
              <a:ln>
                <a:noFill/>
              </a:ln>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c:spPr>
            <c:extLst>
              <c:ext xmlns:c16="http://schemas.microsoft.com/office/drawing/2014/chart" uri="{C3380CC4-5D6E-409C-BE32-E72D297353CC}">
                <c16:uniqueId val="{00000003-7AEB-41E2-A895-14E98D830659}"/>
              </c:ext>
            </c:extLst>
          </c:dPt>
          <c:dLbls>
            <c:dLbl>
              <c:idx val="0"/>
              <c:layout>
                <c:manualLayout>
                  <c:x val="9.6525096525096471E-2"/>
                  <c:y val="-0.10030864197530871"/>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AEB-41E2-A895-14E98D830659}"/>
                </c:ext>
              </c:extLst>
            </c:dLbl>
            <c:dLbl>
              <c:idx val="1"/>
              <c:layout>
                <c:manualLayout>
                  <c:x val="-0.19948519948519949"/>
                  <c:y val="6.944444444444444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AEB-41E2-A895-14E98D83065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'Yearly Meeting Count'!$A$4:$A$6</c:f>
              <c:strCache>
                <c:ptCount val="2"/>
                <c:pt idx="0">
                  <c:v>2019</c:v>
                </c:pt>
                <c:pt idx="1">
                  <c:v>2020</c:v>
                </c:pt>
              </c:strCache>
            </c:strRef>
          </c:cat>
          <c:val>
            <c:numRef>
              <c:f>'Yearly Meeting Count'!$B$4:$B$6</c:f>
              <c:numCache>
                <c:formatCode>General</c:formatCode>
                <c:ptCount val="2"/>
                <c:pt idx="0">
                  <c:v>3</c:v>
                </c:pt>
                <c:pt idx="1">
                  <c:v>31</c:v>
                </c:pt>
              </c:numCache>
            </c:numRef>
          </c:val>
          <c:extLst>
            <c:ext xmlns:c16="http://schemas.microsoft.com/office/drawing/2014/chart" uri="{C3380CC4-5D6E-409C-BE32-E72D297353CC}">
              <c16:uniqueId val="{00000004-7AEB-41E2-A895-14E98D830659}"/>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73361606826173753"/>
          <c:y val="0.49166119860017499"/>
          <c:w val="0.21490388025821097"/>
          <c:h val="0.2520936619033731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w="12700">
      <a:solidFill>
        <a:schemeClr val="bg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600" b="1" i="0" u="none" strike="noStrike" spc="100" baseline="0">
              <a:solidFill>
                <a:sysClr val="window" lastClr="FFFFFF">
                  <a:lumMod val="95000"/>
                </a:sysClr>
              </a:solidFill>
              <a:effectLst>
                <a:outerShdw blurRad="50800" dist="38100" dir="5400000" algn="t" rotWithShape="0">
                  <a:prstClr val="black">
                    <a:alpha val="40000"/>
                  </a:prstClr>
                </a:outerShdw>
              </a:effectLst>
              <a:latin typeface="Gill Sans MT" panose="020B0502020104020203"/>
            </a:rPr>
            <a:t>Stage Funnel by Revenue</a:t>
          </a:r>
        </a:p>
      </cx:txPr>
    </cx:title>
    <cx:plotArea>
      <cx:plotAreaRegion>
        <cx:series layoutId="funnel" uniqueId="{CEE6C080-1425-440E-8E7F-7C776C30E2F2}">
          <cx:dataLabels>
            <cx:visibility seriesName="0" categoryName="0" value="1"/>
          </cx:dataLabels>
          <cx:dataId val="0"/>
        </cx:series>
      </cx:plotAreaRegion>
      <cx:axis id="0">
        <cx:catScaling gapWidth="0.5"/>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title pos="t" align="ctr" overlay="0">
      <cx:tx>
        <cx:txData>
          <cx:v>Stage Funnel by Revenue</cx:v>
        </cx:txData>
      </cx:tx>
      <cx:txPr>
        <a:bodyPr spcFirstLastPara="1" vertOverflow="ellipsis" horzOverflow="overflow" wrap="square" lIns="0" tIns="0" rIns="0" bIns="0" anchor="ctr" anchorCtr="1"/>
        <a:lstStyle/>
        <a:p>
          <a:pPr algn="ctr" rtl="0">
            <a:defRPr/>
          </a:pPr>
          <a:r>
            <a:rPr lang="en-US" sz="1200" b="1" i="0" u="none" strike="noStrike" spc="100" baseline="0">
              <a:solidFill>
                <a:schemeClr val="bg1"/>
              </a:solidFill>
              <a:effectLst>
                <a:outerShdw blurRad="50800" dist="38100" dir="5400000" algn="t" rotWithShape="0">
                  <a:prstClr val="black">
                    <a:alpha val="40000"/>
                  </a:prstClr>
                </a:outerShdw>
              </a:effectLst>
              <a:latin typeface="Gill Sans MT" panose="020B0502020104020203"/>
            </a:rPr>
            <a:t>Stage Funnel by Revenue</a:t>
          </a:r>
        </a:p>
      </cx:txPr>
    </cx:title>
    <cx:plotArea>
      <cx:plotAreaRegion>
        <cx:series layoutId="funnel" uniqueId="{CEE6C080-1425-440E-8E7F-7C776C30E2F2}">
          <cx:dataLabels>
            <cx:txPr>
              <a:bodyPr spcFirstLastPara="1" vertOverflow="ellipsis" horzOverflow="overflow" wrap="square" lIns="0" tIns="0" rIns="0" bIns="0" anchor="ctr" anchorCtr="1"/>
              <a:lstStyle/>
              <a:p>
                <a:pPr algn="ctr" rtl="0">
                  <a:defRPr sz="1050" b="1">
                    <a:solidFill>
                      <a:schemeClr val="bg1"/>
                    </a:solidFill>
                  </a:defRPr>
                </a:pPr>
                <a:endParaRPr lang="en-US" sz="1050" b="1" i="0" u="none" strike="noStrike" baseline="0">
                  <a:solidFill>
                    <a:schemeClr val="bg1"/>
                  </a:solidFill>
                  <a:latin typeface="Gill Sans MT" panose="020B0502020104020203"/>
                </a:endParaRPr>
              </a:p>
            </cx:txPr>
            <cx:visibility seriesName="0" categoryName="0" value="1"/>
          </cx:dataLabels>
          <cx:dataId val="0"/>
        </cx:series>
      </cx:plotAreaRegion>
      <cx:axis id="0">
        <cx:catScaling gapWidth="0.5"/>
        <cx:tickLabels/>
        <cx:txPr>
          <a:bodyPr spcFirstLastPara="1" vertOverflow="ellipsis" horzOverflow="overflow" wrap="square" lIns="0" tIns="0" rIns="0" bIns="0" anchor="ctr" anchorCtr="1"/>
          <a:lstStyle/>
          <a:p>
            <a:pPr algn="ctr" rtl="0">
              <a:defRPr sz="800" b="1">
                <a:solidFill>
                  <a:schemeClr val="bg1"/>
                </a:solidFill>
              </a:defRPr>
            </a:pPr>
            <a:endParaRPr lang="en-US" sz="800" b="1" i="0" u="none" strike="noStrike" baseline="0">
              <a:solidFill>
                <a:schemeClr val="bg1"/>
              </a:solidFill>
              <a:latin typeface="Gill Sans MT" panose="020B0502020104020203"/>
            </a:endParaRPr>
          </a:p>
        </cx:txPr>
      </cx:axis>
    </cx:plotArea>
  </cx:chart>
  <cx:spPr>
    <a:ln w="12700">
      <a:solidFill>
        <a:schemeClr val="bg1"/>
      </a:solidFill>
    </a:ln>
  </cx:spPr>
</cx: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7.xml><?xml version="1.0" encoding="utf-8"?>
<cs:chartStyle xmlns:cs="http://schemas.microsoft.com/office/drawing/2012/chartStyle" xmlns:a="http://schemas.openxmlformats.org/drawingml/2006/main" id="42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1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microsoft.com/office/2014/relationships/chartEx" Target="../charts/chartEx1.xml"/></Relationships>
</file>

<file path=xl/drawings/_rels/drawing8.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 Id="rId9"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dr:twoCellAnchor>
    <xdr:from>
      <xdr:col>5</xdr:col>
      <xdr:colOff>563880</xdr:colOff>
      <xdr:row>2</xdr:row>
      <xdr:rowOff>38100</xdr:rowOff>
    </xdr:from>
    <xdr:to>
      <xdr:col>12</xdr:col>
      <xdr:colOff>601980</xdr:colOff>
      <xdr:row>13</xdr:row>
      <xdr:rowOff>30480</xdr:rowOff>
    </xdr:to>
    <xdr:graphicFrame macro="">
      <xdr:nvGraphicFramePr>
        <xdr:cNvPr id="6" name="Chart 5">
          <a:extLst>
            <a:ext uri="{FF2B5EF4-FFF2-40B4-BE49-F238E27FC236}">
              <a16:creationId xmlns:a16="http://schemas.microsoft.com/office/drawing/2014/main" id="{A04C4150-1B3D-4C81-9E3F-ED7CA1210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15</xdr:col>
      <xdr:colOff>502920</xdr:colOff>
      <xdr:row>4</xdr:row>
      <xdr:rowOff>38100</xdr:rowOff>
    </xdr:from>
    <xdr:to>
      <xdr:col>18</xdr:col>
      <xdr:colOff>502920</xdr:colOff>
      <xdr:row>16</xdr:row>
      <xdr:rowOff>104775</xdr:rowOff>
    </xdr:to>
    <mc:AlternateContent xmlns:mc="http://schemas.openxmlformats.org/markup-compatibility/2006" xmlns:a14="http://schemas.microsoft.com/office/drawing/2010/main">
      <mc:Choice Requires="a14">
        <xdr:graphicFrame macro="">
          <xdr:nvGraphicFramePr>
            <xdr:cNvPr id="3" name="income_class">
              <a:extLst>
                <a:ext uri="{FF2B5EF4-FFF2-40B4-BE49-F238E27FC236}">
                  <a16:creationId xmlns:a16="http://schemas.microsoft.com/office/drawing/2014/main" id="{78D177B6-4FAB-41E3-835A-775893E6E1BC}"/>
                </a:ext>
              </a:extLst>
            </xdr:cNvPr>
            <xdr:cNvGraphicFramePr/>
          </xdr:nvGraphicFramePr>
          <xdr:xfrm>
            <a:off x="0" y="0"/>
            <a:ext cx="0" cy="0"/>
          </xdr:xfrm>
          <a:graphic>
            <a:graphicData uri="http://schemas.microsoft.com/office/drawing/2010/slicer">
              <sle:slicer xmlns:sle="http://schemas.microsoft.com/office/drawing/2010/slicer" name="income_class"/>
            </a:graphicData>
          </a:graphic>
        </xdr:graphicFrame>
      </mc:Choice>
      <mc:Fallback xmlns="">
        <xdr:sp macro="" textlink="">
          <xdr:nvSpPr>
            <xdr:cNvPr id="0" name=""/>
            <xdr:cNvSpPr>
              <a:spLocks noTextEdit="1"/>
            </xdr:cNvSpPr>
          </xdr:nvSpPr>
          <xdr:spPr>
            <a:xfrm>
              <a:off x="11422380" y="9525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377190</xdr:colOff>
      <xdr:row>1</xdr:row>
      <xdr:rowOff>76200</xdr:rowOff>
    </xdr:from>
    <xdr:to>
      <xdr:col>9</xdr:col>
      <xdr:colOff>358140</xdr:colOff>
      <xdr:row>12</xdr:row>
      <xdr:rowOff>76200</xdr:rowOff>
    </xdr:to>
    <xdr:graphicFrame macro="">
      <xdr:nvGraphicFramePr>
        <xdr:cNvPr id="3" name="Chart 2">
          <a:extLst>
            <a:ext uri="{FF2B5EF4-FFF2-40B4-BE49-F238E27FC236}">
              <a16:creationId xmlns:a16="http://schemas.microsoft.com/office/drawing/2014/main" id="{EA8CE0AD-6C99-4D8D-AFF8-B7B70192AD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152400</xdr:colOff>
      <xdr:row>1</xdr:row>
      <xdr:rowOff>129540</xdr:rowOff>
    </xdr:from>
    <xdr:to>
      <xdr:col>8</xdr:col>
      <xdr:colOff>297180</xdr:colOff>
      <xdr:row>12</xdr:row>
      <xdr:rowOff>68580</xdr:rowOff>
    </xdr:to>
    <xdr:grpSp>
      <xdr:nvGrpSpPr>
        <xdr:cNvPr id="6" name="Group 5">
          <a:extLst>
            <a:ext uri="{FF2B5EF4-FFF2-40B4-BE49-F238E27FC236}">
              <a16:creationId xmlns:a16="http://schemas.microsoft.com/office/drawing/2014/main" id="{BF652261-430A-4048-B2C6-658DA205EC26}"/>
            </a:ext>
          </a:extLst>
        </xdr:cNvPr>
        <xdr:cNvGrpSpPr/>
      </xdr:nvGrpSpPr>
      <xdr:grpSpPr>
        <a:xfrm>
          <a:off x="3787140" y="358140"/>
          <a:ext cx="3192780" cy="2453640"/>
          <a:chOff x="3436620" y="289560"/>
          <a:chExt cx="3474720" cy="2491740"/>
        </a:xfrm>
      </xdr:grpSpPr>
      <xdr:graphicFrame macro="">
        <xdr:nvGraphicFramePr>
          <xdr:cNvPr id="4" name="Chart 3">
            <a:extLst>
              <a:ext uri="{FF2B5EF4-FFF2-40B4-BE49-F238E27FC236}">
                <a16:creationId xmlns:a16="http://schemas.microsoft.com/office/drawing/2014/main" id="{37FB91FB-283B-4ECD-91F7-EC4668F591A4}"/>
              </a:ext>
            </a:extLst>
          </xdr:cNvPr>
          <xdr:cNvGraphicFramePr/>
        </xdr:nvGraphicFramePr>
        <xdr:xfrm>
          <a:off x="3436620" y="289560"/>
          <a:ext cx="3474720" cy="2491740"/>
        </xdr:xfrm>
        <a:graphic>
          <a:graphicData uri="http://schemas.openxmlformats.org/drawingml/2006/chart">
            <c:chart xmlns:c="http://schemas.openxmlformats.org/drawingml/2006/chart" xmlns:r="http://schemas.openxmlformats.org/officeDocument/2006/relationships" r:id="rId1"/>
          </a:graphicData>
        </a:graphic>
      </xdr:graphicFrame>
      <xdr:sp macro="" textlink="$B$8">
        <xdr:nvSpPr>
          <xdr:cNvPr id="2" name="Oval 1">
            <a:extLst>
              <a:ext uri="{FF2B5EF4-FFF2-40B4-BE49-F238E27FC236}">
                <a16:creationId xmlns:a16="http://schemas.microsoft.com/office/drawing/2014/main" id="{626C899C-195E-4D25-8C92-3E903EB841E5}"/>
              </a:ext>
            </a:extLst>
          </xdr:cNvPr>
          <xdr:cNvSpPr/>
        </xdr:nvSpPr>
        <xdr:spPr>
          <a:xfrm>
            <a:off x="4320540" y="1104900"/>
            <a:ext cx="1211580" cy="120396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81B735-284D-4DAB-BB2F-7892661348F5}" type="TxLink">
              <a:rPr lang="en-US" sz="1400" b="1" i="0" u="none" strike="noStrike">
                <a:solidFill>
                  <a:schemeClr val="bg1"/>
                </a:solidFill>
                <a:latin typeface="Gill Sans MT"/>
              </a:rPr>
              <a:pPr algn="ctr"/>
              <a:t>34</a:t>
            </a:fld>
            <a:endParaRPr lang="en-US" sz="1400">
              <a:solidFill>
                <a:schemeClr val="bg1"/>
              </a:solidFill>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525780</xdr:colOff>
      <xdr:row>1</xdr:row>
      <xdr:rowOff>213360</xdr:rowOff>
    </xdr:from>
    <xdr:to>
      <xdr:col>9</xdr:col>
      <xdr:colOff>381000</xdr:colOff>
      <xdr:row>13</xdr:row>
      <xdr:rowOff>213360</xdr:rowOff>
    </xdr:to>
    <xdr:graphicFrame macro="">
      <xdr:nvGraphicFramePr>
        <xdr:cNvPr id="3" name="Chart 2">
          <a:extLst>
            <a:ext uri="{FF2B5EF4-FFF2-40B4-BE49-F238E27FC236}">
              <a16:creationId xmlns:a16="http://schemas.microsoft.com/office/drawing/2014/main" id="{226FBDB1-78FD-4B9F-9C35-20A87BED97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320040</xdr:colOff>
      <xdr:row>2</xdr:row>
      <xdr:rowOff>60960</xdr:rowOff>
    </xdr:from>
    <xdr:to>
      <xdr:col>13</xdr:col>
      <xdr:colOff>190500</xdr:colOff>
      <xdr:row>14</xdr:row>
      <xdr:rowOff>127635</xdr:rowOff>
    </xdr:to>
    <mc:AlternateContent xmlns:mc="http://schemas.openxmlformats.org/markup-compatibility/2006" xmlns:a14="http://schemas.microsoft.com/office/drawing/2010/main">
      <mc:Choice Requires="a14">
        <xdr:graphicFrame macro="">
          <xdr:nvGraphicFramePr>
            <xdr:cNvPr id="4" name="Account Executive">
              <a:extLst>
                <a:ext uri="{FF2B5EF4-FFF2-40B4-BE49-F238E27FC236}">
                  <a16:creationId xmlns:a16="http://schemas.microsoft.com/office/drawing/2014/main" id="{0AFBDADC-BBDA-4937-B16E-425034C51332}"/>
                </a:ext>
              </a:extLst>
            </xdr:cNvPr>
            <xdr:cNvGraphicFramePr/>
          </xdr:nvGraphicFramePr>
          <xdr:xfrm>
            <a:off x="0" y="0"/>
            <a:ext cx="0" cy="0"/>
          </xdr:xfrm>
          <a:graphic>
            <a:graphicData uri="http://schemas.microsoft.com/office/drawing/2010/slicer">
              <sle:slicer xmlns:sle="http://schemas.microsoft.com/office/drawing/2010/slicer" name="Account Executive"/>
            </a:graphicData>
          </a:graphic>
        </xdr:graphicFrame>
      </mc:Choice>
      <mc:Fallback xmlns="">
        <xdr:sp macro="" textlink="">
          <xdr:nvSpPr>
            <xdr:cNvPr id="0" name=""/>
            <xdr:cNvSpPr>
              <a:spLocks noTextEdit="1"/>
            </xdr:cNvSpPr>
          </xdr:nvSpPr>
          <xdr:spPr>
            <a:xfrm>
              <a:off x="8869680" y="51816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175260</xdr:colOff>
      <xdr:row>3</xdr:row>
      <xdr:rowOff>152400</xdr:rowOff>
    </xdr:from>
    <xdr:to>
      <xdr:col>17</xdr:col>
      <xdr:colOff>175260</xdr:colOff>
      <xdr:row>15</xdr:row>
      <xdr:rowOff>219075</xdr:rowOff>
    </xdr:to>
    <mc:AlternateContent xmlns:mc="http://schemas.openxmlformats.org/markup-compatibility/2006" xmlns:a14="http://schemas.microsoft.com/office/drawing/2010/main">
      <mc:Choice Requires="a14">
        <xdr:graphicFrame macro="">
          <xdr:nvGraphicFramePr>
            <xdr:cNvPr id="5" name="meeting_date (Year)">
              <a:extLst>
                <a:ext uri="{FF2B5EF4-FFF2-40B4-BE49-F238E27FC236}">
                  <a16:creationId xmlns:a16="http://schemas.microsoft.com/office/drawing/2014/main" id="{FB8D5DFE-8837-41DE-8375-AAF98D008D68}"/>
                </a:ext>
              </a:extLst>
            </xdr:cNvPr>
            <xdr:cNvGraphicFramePr/>
          </xdr:nvGraphicFramePr>
          <xdr:xfrm>
            <a:off x="0" y="0"/>
            <a:ext cx="0" cy="0"/>
          </xdr:xfrm>
          <a:graphic>
            <a:graphicData uri="http://schemas.microsoft.com/office/drawing/2010/slicer">
              <sle:slicer xmlns:sle="http://schemas.microsoft.com/office/drawing/2010/slicer" name="meeting_date (Year)"/>
            </a:graphicData>
          </a:graphic>
        </xdr:graphicFrame>
      </mc:Choice>
      <mc:Fallback xmlns="">
        <xdr:sp macro="" textlink="">
          <xdr:nvSpPr>
            <xdr:cNvPr id="0" name=""/>
            <xdr:cNvSpPr>
              <a:spLocks noTextEdit="1"/>
            </xdr:cNvSpPr>
          </xdr:nvSpPr>
          <xdr:spPr>
            <a:xfrm>
              <a:off x="11292840" y="838200"/>
              <a:ext cx="1828800" cy="28098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944880</xdr:colOff>
      <xdr:row>1</xdr:row>
      <xdr:rowOff>15240</xdr:rowOff>
    </xdr:from>
    <xdr:to>
      <xdr:col>7</xdr:col>
      <xdr:colOff>510540</xdr:colOff>
      <xdr:row>13</xdr:row>
      <xdr:rowOff>15240</xdr:rowOff>
    </xdr:to>
    <xdr:graphicFrame macro="">
      <xdr:nvGraphicFramePr>
        <xdr:cNvPr id="4" name="Chart 3">
          <a:extLst>
            <a:ext uri="{FF2B5EF4-FFF2-40B4-BE49-F238E27FC236}">
              <a16:creationId xmlns:a16="http://schemas.microsoft.com/office/drawing/2014/main" id="{D726F084-1567-430A-BA67-1A3D911899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7</xdr:col>
      <xdr:colOff>281940</xdr:colOff>
      <xdr:row>1</xdr:row>
      <xdr:rowOff>0</xdr:rowOff>
    </xdr:from>
    <xdr:to>
      <xdr:col>14</xdr:col>
      <xdr:colOff>152400</xdr:colOff>
      <xdr:row>16</xdr:row>
      <xdr:rowOff>0</xdr:rowOff>
    </xdr:to>
    <xdr:graphicFrame macro="">
      <xdr:nvGraphicFramePr>
        <xdr:cNvPr id="2" name="Chart 1">
          <a:extLst>
            <a:ext uri="{FF2B5EF4-FFF2-40B4-BE49-F238E27FC236}">
              <a16:creationId xmlns:a16="http://schemas.microsoft.com/office/drawing/2014/main" id="{8B1E44A4-8B89-49B6-8C6E-32F04EF241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274320</xdr:colOff>
      <xdr:row>16</xdr:row>
      <xdr:rowOff>45720</xdr:rowOff>
    </xdr:from>
    <xdr:to>
      <xdr:col>14</xdr:col>
      <xdr:colOff>152400</xdr:colOff>
      <xdr:row>29</xdr:row>
      <xdr:rowOff>45720</xdr:rowOff>
    </xdr:to>
    <xdr:graphicFrame macro="">
      <xdr:nvGraphicFramePr>
        <xdr:cNvPr id="3" name="Chart 2">
          <a:extLst>
            <a:ext uri="{FF2B5EF4-FFF2-40B4-BE49-F238E27FC236}">
              <a16:creationId xmlns:a16="http://schemas.microsoft.com/office/drawing/2014/main" id="{383FA86B-66FE-437B-BD28-AF43EFCD5F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251461</xdr:colOff>
      <xdr:row>0</xdr:row>
      <xdr:rowOff>171994</xdr:rowOff>
    </xdr:from>
    <xdr:to>
      <xdr:col>21</xdr:col>
      <xdr:colOff>381001</xdr:colOff>
      <xdr:row>15</xdr:row>
      <xdr:rowOff>141514</xdr:rowOff>
    </xdr:to>
    <xdr:graphicFrame macro="">
      <xdr:nvGraphicFramePr>
        <xdr:cNvPr id="5" name="Chart 4">
          <a:extLst>
            <a:ext uri="{FF2B5EF4-FFF2-40B4-BE49-F238E27FC236}">
              <a16:creationId xmlns:a16="http://schemas.microsoft.com/office/drawing/2014/main" id="{167C84AB-886E-40A8-B020-24D9A4DBE9B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91440</xdr:colOff>
      <xdr:row>19</xdr:row>
      <xdr:rowOff>15240</xdr:rowOff>
    </xdr:from>
    <xdr:to>
      <xdr:col>5</xdr:col>
      <xdr:colOff>495300</xdr:colOff>
      <xdr:row>22</xdr:row>
      <xdr:rowOff>144780</xdr:rowOff>
    </xdr:to>
    <xdr:grpSp>
      <xdr:nvGrpSpPr>
        <xdr:cNvPr id="12" name="Group 11">
          <a:extLst>
            <a:ext uri="{FF2B5EF4-FFF2-40B4-BE49-F238E27FC236}">
              <a16:creationId xmlns:a16="http://schemas.microsoft.com/office/drawing/2014/main" id="{5A420CB9-07B2-4A5F-85E2-9F302D80B5B9}"/>
            </a:ext>
          </a:extLst>
        </xdr:cNvPr>
        <xdr:cNvGrpSpPr/>
      </xdr:nvGrpSpPr>
      <xdr:grpSpPr>
        <a:xfrm>
          <a:off x="5461299" y="4551381"/>
          <a:ext cx="1515483" cy="837752"/>
          <a:chOff x="3291840" y="3619500"/>
          <a:chExt cx="1516380" cy="693420"/>
        </a:xfrm>
      </xdr:grpSpPr>
      <xdr:sp macro="" textlink="">
        <xdr:nvSpPr>
          <xdr:cNvPr id="13" name="Rectangle 12">
            <a:extLst>
              <a:ext uri="{FF2B5EF4-FFF2-40B4-BE49-F238E27FC236}">
                <a16:creationId xmlns:a16="http://schemas.microsoft.com/office/drawing/2014/main" id="{EF482D6F-0FB9-4EB1-8BFE-894086199D32}"/>
              </a:ext>
            </a:extLst>
          </xdr:cNvPr>
          <xdr:cNvSpPr/>
        </xdr:nvSpPr>
        <xdr:spPr>
          <a:xfrm>
            <a:off x="3291840" y="3619500"/>
            <a:ext cx="1516380" cy="69342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4" name="Rectangle: Rounded Corners 13">
            <a:extLst>
              <a:ext uri="{FF2B5EF4-FFF2-40B4-BE49-F238E27FC236}">
                <a16:creationId xmlns:a16="http://schemas.microsoft.com/office/drawing/2014/main" id="{7FAB5333-97A5-4EC0-A7E6-A4F517E6DA65}"/>
              </a:ext>
            </a:extLst>
          </xdr:cNvPr>
          <xdr:cNvSpPr/>
        </xdr:nvSpPr>
        <xdr:spPr>
          <a:xfrm>
            <a:off x="3314700" y="3627120"/>
            <a:ext cx="1463040" cy="266700"/>
          </a:xfrm>
          <a:prstGeom prst="roundRect">
            <a:avLst/>
          </a:prstGeom>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a:t>New</a:t>
            </a:r>
            <a:r>
              <a:rPr lang="en-US" sz="1100" baseline="0"/>
              <a:t> Achievement %</a:t>
            </a:r>
          </a:p>
          <a:p>
            <a:pPr algn="ctr"/>
            <a:endParaRPr lang="en-US" sz="1100"/>
          </a:p>
        </xdr:txBody>
      </xdr:sp>
    </xdr:grpSp>
    <xdr:clientData/>
  </xdr:twoCellAnchor>
  <xdr:twoCellAnchor>
    <xdr:from>
      <xdr:col>2</xdr:col>
      <xdr:colOff>1379220</xdr:colOff>
      <xdr:row>19</xdr:row>
      <xdr:rowOff>0</xdr:rowOff>
    </xdr:from>
    <xdr:to>
      <xdr:col>3</xdr:col>
      <xdr:colOff>1432560</xdr:colOff>
      <xdr:row>22</xdr:row>
      <xdr:rowOff>175260</xdr:rowOff>
    </xdr:to>
    <xdr:grpSp>
      <xdr:nvGrpSpPr>
        <xdr:cNvPr id="16" name="Group 15">
          <a:extLst>
            <a:ext uri="{FF2B5EF4-FFF2-40B4-BE49-F238E27FC236}">
              <a16:creationId xmlns:a16="http://schemas.microsoft.com/office/drawing/2014/main" id="{46A96E62-524A-4022-A74D-E34A36A0905B}"/>
            </a:ext>
          </a:extLst>
        </xdr:cNvPr>
        <xdr:cNvGrpSpPr/>
      </xdr:nvGrpSpPr>
      <xdr:grpSpPr>
        <a:xfrm>
          <a:off x="3575573" y="4536141"/>
          <a:ext cx="1765599" cy="883472"/>
          <a:chOff x="3291840" y="3619500"/>
          <a:chExt cx="1516380" cy="693420"/>
        </a:xfrm>
      </xdr:grpSpPr>
      <xdr:grpSp>
        <xdr:nvGrpSpPr>
          <xdr:cNvPr id="11" name="Group 10">
            <a:extLst>
              <a:ext uri="{FF2B5EF4-FFF2-40B4-BE49-F238E27FC236}">
                <a16:creationId xmlns:a16="http://schemas.microsoft.com/office/drawing/2014/main" id="{D2D193D1-8CBE-4237-96F8-90BBFFF31C16}"/>
              </a:ext>
            </a:extLst>
          </xdr:cNvPr>
          <xdr:cNvGrpSpPr/>
        </xdr:nvGrpSpPr>
        <xdr:grpSpPr>
          <a:xfrm>
            <a:off x="3291840" y="3619500"/>
            <a:ext cx="1516380" cy="693420"/>
            <a:chOff x="3291840" y="3619500"/>
            <a:chExt cx="1516380" cy="693420"/>
          </a:xfrm>
        </xdr:grpSpPr>
        <xdr:sp macro="" textlink="">
          <xdr:nvSpPr>
            <xdr:cNvPr id="10" name="Rectangle 9">
              <a:extLst>
                <a:ext uri="{FF2B5EF4-FFF2-40B4-BE49-F238E27FC236}">
                  <a16:creationId xmlns:a16="http://schemas.microsoft.com/office/drawing/2014/main" id="{3CCE87DA-39F4-4596-9C77-F54184AD0AEE}"/>
                </a:ext>
              </a:extLst>
            </xdr:cNvPr>
            <xdr:cNvSpPr/>
          </xdr:nvSpPr>
          <xdr:spPr>
            <a:xfrm>
              <a:off x="3291840" y="3619500"/>
              <a:ext cx="151638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EBA49C76-1678-43A0-903F-83F378A0D3F8}"/>
                </a:ext>
              </a:extLst>
            </xdr:cNvPr>
            <xdr:cNvSpPr/>
          </xdr:nvSpPr>
          <xdr:spPr>
            <a:xfrm>
              <a:off x="3314700" y="3627120"/>
              <a:ext cx="1463040" cy="266700"/>
            </a:xfrm>
            <a:prstGeom prst="round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a:t>New</a:t>
              </a:r>
              <a:r>
                <a:rPr lang="en-US" sz="1100" baseline="0"/>
                <a:t> Achievement %</a:t>
              </a:r>
            </a:p>
            <a:p>
              <a:pPr algn="ctr"/>
              <a:endParaRPr lang="en-US" sz="1100"/>
            </a:p>
          </xdr:txBody>
        </xdr:sp>
      </xdr:grpSp>
      <xdr:sp macro="" textlink="$E$8">
        <xdr:nvSpPr>
          <xdr:cNvPr id="15" name="TextBox 14">
            <a:extLst>
              <a:ext uri="{FF2B5EF4-FFF2-40B4-BE49-F238E27FC236}">
                <a16:creationId xmlns:a16="http://schemas.microsoft.com/office/drawing/2014/main" id="{E951C601-70E8-42C8-B814-07E8A8F3B6F4}"/>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17D845-ADED-4836-845E-DFCEA7FAEF11}" type="TxLink">
              <a:rPr lang="en-US" sz="1600" b="1" i="0" u="none" strike="noStrike">
                <a:solidFill>
                  <a:schemeClr val="bg1"/>
                </a:solidFill>
                <a:latin typeface="Calibri"/>
                <a:cs typeface="Calibri"/>
              </a:rPr>
              <a:pPr algn="ctr"/>
              <a:t>17.95%</a:t>
            </a:fld>
            <a:endParaRPr lang="en-US" sz="1600" b="1">
              <a:solidFill>
                <a:schemeClr val="bg1"/>
              </a:solidFill>
            </a:endParaRPr>
          </a:p>
        </xdr:txBody>
      </xdr:sp>
    </xdr:grpSp>
    <xdr:clientData/>
  </xdr:twoCellAnchor>
  <xdr:twoCellAnchor>
    <xdr:from>
      <xdr:col>2</xdr:col>
      <xdr:colOff>1379220</xdr:colOff>
      <xdr:row>23</xdr:row>
      <xdr:rowOff>38100</xdr:rowOff>
    </xdr:from>
    <xdr:to>
      <xdr:col>3</xdr:col>
      <xdr:colOff>1432560</xdr:colOff>
      <xdr:row>27</xdr:row>
      <xdr:rowOff>30480</xdr:rowOff>
    </xdr:to>
    <xdr:grpSp>
      <xdr:nvGrpSpPr>
        <xdr:cNvPr id="17" name="Group 16">
          <a:extLst>
            <a:ext uri="{FF2B5EF4-FFF2-40B4-BE49-F238E27FC236}">
              <a16:creationId xmlns:a16="http://schemas.microsoft.com/office/drawing/2014/main" id="{220E5AB7-65AA-42B9-917A-DA1C1EA00537}"/>
            </a:ext>
          </a:extLst>
        </xdr:cNvPr>
        <xdr:cNvGrpSpPr/>
      </xdr:nvGrpSpPr>
      <xdr:grpSpPr>
        <a:xfrm>
          <a:off x="3575573" y="5515535"/>
          <a:ext cx="1765599" cy="933674"/>
          <a:chOff x="3291840" y="3619500"/>
          <a:chExt cx="1516380" cy="693420"/>
        </a:xfrm>
      </xdr:grpSpPr>
      <xdr:grpSp>
        <xdr:nvGrpSpPr>
          <xdr:cNvPr id="18" name="Group 17">
            <a:extLst>
              <a:ext uri="{FF2B5EF4-FFF2-40B4-BE49-F238E27FC236}">
                <a16:creationId xmlns:a16="http://schemas.microsoft.com/office/drawing/2014/main" id="{6CDE9D12-203F-48A1-91B1-F290B88D6809}"/>
              </a:ext>
            </a:extLst>
          </xdr:cNvPr>
          <xdr:cNvGrpSpPr/>
        </xdr:nvGrpSpPr>
        <xdr:grpSpPr>
          <a:xfrm>
            <a:off x="3291840" y="3619500"/>
            <a:ext cx="1516380" cy="693420"/>
            <a:chOff x="3291840" y="3619500"/>
            <a:chExt cx="1516380" cy="693420"/>
          </a:xfrm>
        </xdr:grpSpPr>
        <xdr:sp macro="" textlink="">
          <xdr:nvSpPr>
            <xdr:cNvPr id="20" name="Rectangle 19">
              <a:extLst>
                <a:ext uri="{FF2B5EF4-FFF2-40B4-BE49-F238E27FC236}">
                  <a16:creationId xmlns:a16="http://schemas.microsoft.com/office/drawing/2014/main" id="{6C678D7F-9885-4782-AEDE-E0F81712759D}"/>
                </a:ext>
              </a:extLst>
            </xdr:cNvPr>
            <xdr:cNvSpPr/>
          </xdr:nvSpPr>
          <xdr:spPr>
            <a:xfrm>
              <a:off x="3291840" y="3619500"/>
              <a:ext cx="1516380" cy="693420"/>
            </a:xfrm>
            <a:prstGeom prst="rect">
              <a:avLst/>
            </a:prstGeom>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1" name="Rectangle: Rounded Corners 20">
              <a:extLst>
                <a:ext uri="{FF2B5EF4-FFF2-40B4-BE49-F238E27FC236}">
                  <a16:creationId xmlns:a16="http://schemas.microsoft.com/office/drawing/2014/main" id="{60654AD3-84ED-4BD2-ABAB-8017BC3FA00F}"/>
                </a:ext>
              </a:extLst>
            </xdr:cNvPr>
            <xdr:cNvSpPr/>
          </xdr:nvSpPr>
          <xdr:spPr>
            <a:xfrm>
              <a:off x="3314700" y="3627120"/>
              <a:ext cx="1463040" cy="266700"/>
            </a:xfrm>
            <a:prstGeom prst="roundRect">
              <a:avLst/>
            </a:prstGeom>
            <a:ln>
              <a:no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1100"/>
                <a:t>New</a:t>
              </a:r>
              <a:r>
                <a:rPr lang="en-US" sz="1100" baseline="0"/>
                <a:t> Achievement %</a:t>
              </a:r>
            </a:p>
            <a:p>
              <a:pPr algn="ctr"/>
              <a:endParaRPr lang="en-US" sz="1100"/>
            </a:p>
          </xdr:txBody>
        </xdr:sp>
      </xdr:grpSp>
      <xdr:sp macro="" textlink="$E$8">
        <xdr:nvSpPr>
          <xdr:cNvPr id="19" name="TextBox 18">
            <a:extLst>
              <a:ext uri="{FF2B5EF4-FFF2-40B4-BE49-F238E27FC236}">
                <a16:creationId xmlns:a16="http://schemas.microsoft.com/office/drawing/2014/main" id="{946A515F-2F61-4023-9C3E-6C21DD441E31}"/>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17D845-ADED-4836-845E-DFCEA7FAEF11}" type="TxLink">
              <a:rPr lang="en-US" sz="1600" b="1" i="0" u="none" strike="noStrike">
                <a:solidFill>
                  <a:schemeClr val="bg1"/>
                </a:solidFill>
                <a:latin typeface="Calibri"/>
                <a:cs typeface="Calibri"/>
              </a:rPr>
              <a:pPr algn="ctr"/>
              <a:t>17.95%</a:t>
            </a:fld>
            <a:endParaRPr lang="en-US" sz="1600" b="1">
              <a:solidFill>
                <a:schemeClr val="bg1"/>
              </a:solidFill>
            </a:endParaRPr>
          </a:p>
        </xdr:txBody>
      </xdr:sp>
    </xdr:grpSp>
    <xdr:clientData/>
  </xdr:twoCellAnchor>
</xdr:wsDr>
</file>

<file path=xl/drawings/drawing7.xml><?xml version="1.0" encoding="utf-8"?>
<xdr:wsDr xmlns:xdr="http://schemas.openxmlformats.org/drawingml/2006/spreadsheetDrawing" xmlns:a="http://schemas.openxmlformats.org/drawingml/2006/main">
  <xdr:twoCellAnchor>
    <xdr:from>
      <xdr:col>3</xdr:col>
      <xdr:colOff>348343</xdr:colOff>
      <xdr:row>1</xdr:row>
      <xdr:rowOff>87085</xdr:rowOff>
    </xdr:from>
    <xdr:to>
      <xdr:col>8</xdr:col>
      <xdr:colOff>185057</xdr:colOff>
      <xdr:row>13</xdr:row>
      <xdr:rowOff>87085</xdr:rowOff>
    </xdr:to>
    <mc:AlternateContent xmlns:mc="http://schemas.openxmlformats.org/markup-compatibility/2006">
      <mc:Choice xmlns:cx2="http://schemas.microsoft.com/office/drawing/2015/10/21/chartex" Requires="cx2">
        <xdr:graphicFrame macro="">
          <xdr:nvGraphicFramePr>
            <xdr:cNvPr id="4" name="Chart 3">
              <a:extLst>
                <a:ext uri="{FF2B5EF4-FFF2-40B4-BE49-F238E27FC236}">
                  <a16:creationId xmlns:a16="http://schemas.microsoft.com/office/drawing/2014/main" id="{8619F3E0-0938-4854-B8D1-FB3599FE8DD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973683" y="315685"/>
              <a:ext cx="4568734"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8</xdr:col>
      <xdr:colOff>651865</xdr:colOff>
      <xdr:row>1</xdr:row>
      <xdr:rowOff>197128</xdr:rowOff>
    </xdr:from>
    <xdr:to>
      <xdr:col>10</xdr:col>
      <xdr:colOff>507984</xdr:colOff>
      <xdr:row>8</xdr:row>
      <xdr:rowOff>90401</xdr:rowOff>
    </xdr:to>
    <mc:AlternateContent xmlns:mc="http://schemas.openxmlformats.org/markup-compatibility/2006" xmlns:a14="http://schemas.microsoft.com/office/drawing/2010/main">
      <mc:Choice Requires="a14">
        <xdr:graphicFrame macro="">
          <xdr:nvGraphicFramePr>
            <xdr:cNvPr id="5" name="stage">
              <a:extLst>
                <a:ext uri="{FF2B5EF4-FFF2-40B4-BE49-F238E27FC236}">
                  <a16:creationId xmlns:a16="http://schemas.microsoft.com/office/drawing/2014/main" id="{CDDACC4F-9554-4726-BD84-28BF9ACDBECA}"/>
                </a:ext>
              </a:extLst>
            </xdr:cNvPr>
            <xdr:cNvGraphicFramePr/>
          </xdr:nvGraphicFramePr>
          <xdr:xfrm>
            <a:off x="0" y="0"/>
            <a:ext cx="0" cy="0"/>
          </xdr:xfrm>
          <a:graphic>
            <a:graphicData uri="http://schemas.microsoft.com/office/drawing/2010/slicer">
              <sle:slicer xmlns:sle="http://schemas.microsoft.com/office/drawing/2010/slicer" name="stage"/>
            </a:graphicData>
          </a:graphic>
        </xdr:graphicFrame>
      </mc:Choice>
      <mc:Fallback xmlns="">
        <xdr:sp macro="" textlink="">
          <xdr:nvSpPr>
            <xdr:cNvPr id="0" name=""/>
            <xdr:cNvSpPr>
              <a:spLocks noTextEdit="1"/>
            </xdr:cNvSpPr>
          </xdr:nvSpPr>
          <xdr:spPr>
            <a:xfrm>
              <a:off x="10001274" y="429041"/>
              <a:ext cx="1830693" cy="15166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xdr:from>
      <xdr:col>0</xdr:col>
      <xdr:colOff>30480</xdr:colOff>
      <xdr:row>0</xdr:row>
      <xdr:rowOff>0</xdr:rowOff>
    </xdr:from>
    <xdr:to>
      <xdr:col>23</xdr:col>
      <xdr:colOff>289560</xdr:colOff>
      <xdr:row>34</xdr:row>
      <xdr:rowOff>44824</xdr:rowOff>
    </xdr:to>
    <xdr:sp macro="" textlink="">
      <xdr:nvSpPr>
        <xdr:cNvPr id="2" name="Rectangle 1">
          <a:extLst>
            <a:ext uri="{FF2B5EF4-FFF2-40B4-BE49-F238E27FC236}">
              <a16:creationId xmlns:a16="http://schemas.microsoft.com/office/drawing/2014/main" id="{AE3FB67B-6F96-41AB-BDE0-41C9D70FC334}"/>
            </a:ext>
          </a:extLst>
        </xdr:cNvPr>
        <xdr:cNvSpPr/>
      </xdr:nvSpPr>
      <xdr:spPr>
        <a:xfrm>
          <a:off x="30480" y="0"/>
          <a:ext cx="14279880" cy="7817224"/>
        </a:xfrm>
        <a:prstGeom prst="rect">
          <a:avLst/>
        </a:prstGeom>
        <a:solidFill>
          <a:schemeClr val="accent6">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45720</xdr:colOff>
      <xdr:row>0</xdr:row>
      <xdr:rowOff>68580</xdr:rowOff>
    </xdr:from>
    <xdr:to>
      <xdr:col>23</xdr:col>
      <xdr:colOff>236220</xdr:colOff>
      <xdr:row>3</xdr:row>
      <xdr:rowOff>83820</xdr:rowOff>
    </xdr:to>
    <xdr:sp macro="" textlink="">
      <xdr:nvSpPr>
        <xdr:cNvPr id="3" name="Rectangle: Rounded Corners 2">
          <a:extLst>
            <a:ext uri="{FF2B5EF4-FFF2-40B4-BE49-F238E27FC236}">
              <a16:creationId xmlns:a16="http://schemas.microsoft.com/office/drawing/2014/main" id="{561BCE73-A547-45D5-8C13-C5BAB1BD5E82}"/>
            </a:ext>
          </a:extLst>
        </xdr:cNvPr>
        <xdr:cNvSpPr/>
      </xdr:nvSpPr>
      <xdr:spPr>
        <a:xfrm>
          <a:off x="45720" y="68580"/>
          <a:ext cx="14211300" cy="70104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400" b="1"/>
            <a:t>Insurance Analystics Dashboard</a:t>
          </a:r>
        </a:p>
      </xdr:txBody>
    </xdr:sp>
    <xdr:clientData/>
  </xdr:twoCellAnchor>
  <xdr:twoCellAnchor>
    <xdr:from>
      <xdr:col>0</xdr:col>
      <xdr:colOff>68580</xdr:colOff>
      <xdr:row>3</xdr:row>
      <xdr:rowOff>106680</xdr:rowOff>
    </xdr:from>
    <xdr:to>
      <xdr:col>6</xdr:col>
      <xdr:colOff>433388</xdr:colOff>
      <xdr:row>8</xdr:row>
      <xdr:rowOff>126381</xdr:rowOff>
    </xdr:to>
    <xdr:grpSp>
      <xdr:nvGrpSpPr>
        <xdr:cNvPr id="6" name="Group 5">
          <a:extLst>
            <a:ext uri="{FF2B5EF4-FFF2-40B4-BE49-F238E27FC236}">
              <a16:creationId xmlns:a16="http://schemas.microsoft.com/office/drawing/2014/main" id="{3E0981A8-8E64-462A-82E6-0ACBA23EE589}"/>
            </a:ext>
          </a:extLst>
        </xdr:cNvPr>
        <xdr:cNvGrpSpPr/>
      </xdr:nvGrpSpPr>
      <xdr:grpSpPr>
        <a:xfrm>
          <a:off x="68580" y="792480"/>
          <a:ext cx="4022408" cy="1162701"/>
          <a:chOff x="121920" y="655320"/>
          <a:chExt cx="3589020" cy="944880"/>
        </a:xfrm>
      </xdr:grpSpPr>
      <xdr:sp macro="" textlink="">
        <xdr:nvSpPr>
          <xdr:cNvPr id="4" name="Rectangle: Rounded Corners 3">
            <a:extLst>
              <a:ext uri="{FF2B5EF4-FFF2-40B4-BE49-F238E27FC236}">
                <a16:creationId xmlns:a16="http://schemas.microsoft.com/office/drawing/2014/main" id="{7380815C-05E5-4C7F-986D-EEC73E8099A9}"/>
              </a:ext>
            </a:extLst>
          </xdr:cNvPr>
          <xdr:cNvSpPr/>
        </xdr:nvSpPr>
        <xdr:spPr>
          <a:xfrm>
            <a:off x="121920" y="655320"/>
            <a:ext cx="419100" cy="93726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r>
              <a:rPr lang="en-US" sz="1800" b="1"/>
              <a:t>NEW</a:t>
            </a:r>
          </a:p>
        </xdr:txBody>
      </xdr:sp>
      <xdr:graphicFrame macro="">
        <xdr:nvGraphicFramePr>
          <xdr:cNvPr id="5" name="Chart 4">
            <a:extLst>
              <a:ext uri="{FF2B5EF4-FFF2-40B4-BE49-F238E27FC236}">
                <a16:creationId xmlns:a16="http://schemas.microsoft.com/office/drawing/2014/main" id="{97E896D5-D9B9-402C-8927-CBDA9620469B}"/>
              </a:ext>
            </a:extLst>
          </xdr:cNvPr>
          <xdr:cNvGraphicFramePr>
            <a:graphicFrameLocks/>
          </xdr:cNvGraphicFramePr>
        </xdr:nvGraphicFramePr>
        <xdr:xfrm>
          <a:off x="571500" y="662940"/>
          <a:ext cx="3139440" cy="937260"/>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501805</xdr:colOff>
      <xdr:row>3</xdr:row>
      <xdr:rowOff>99060</xdr:rowOff>
    </xdr:from>
    <xdr:to>
      <xdr:col>13</xdr:col>
      <xdr:colOff>390525</xdr:colOff>
      <xdr:row>8</xdr:row>
      <xdr:rowOff>121920</xdr:rowOff>
    </xdr:to>
    <xdr:grpSp>
      <xdr:nvGrpSpPr>
        <xdr:cNvPr id="13" name="Group 12">
          <a:extLst>
            <a:ext uri="{FF2B5EF4-FFF2-40B4-BE49-F238E27FC236}">
              <a16:creationId xmlns:a16="http://schemas.microsoft.com/office/drawing/2014/main" id="{92420899-725D-43F2-819A-B5BCF8F10629}"/>
            </a:ext>
          </a:extLst>
        </xdr:cNvPr>
        <xdr:cNvGrpSpPr/>
      </xdr:nvGrpSpPr>
      <xdr:grpSpPr>
        <a:xfrm>
          <a:off x="4159405" y="784860"/>
          <a:ext cx="4155920" cy="1165860"/>
          <a:chOff x="3756660" y="655320"/>
          <a:chExt cx="3962400" cy="937260"/>
        </a:xfrm>
      </xdr:grpSpPr>
      <xdr:sp macro="" textlink="">
        <xdr:nvSpPr>
          <xdr:cNvPr id="10" name="Rectangle: Rounded Corners 9">
            <a:extLst>
              <a:ext uri="{FF2B5EF4-FFF2-40B4-BE49-F238E27FC236}">
                <a16:creationId xmlns:a16="http://schemas.microsoft.com/office/drawing/2014/main" id="{870F92FD-6369-4A1F-91D5-BB49C454EBD5}"/>
              </a:ext>
            </a:extLst>
          </xdr:cNvPr>
          <xdr:cNvSpPr/>
        </xdr:nvSpPr>
        <xdr:spPr>
          <a:xfrm>
            <a:off x="3756660" y="655320"/>
            <a:ext cx="419100" cy="93726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r>
              <a:rPr lang="en-US" sz="1600" b="1"/>
              <a:t>Cross Sell</a:t>
            </a:r>
          </a:p>
        </xdr:txBody>
      </xdr:sp>
      <xdr:graphicFrame macro="">
        <xdr:nvGraphicFramePr>
          <xdr:cNvPr id="11" name="Chart 10">
            <a:extLst>
              <a:ext uri="{FF2B5EF4-FFF2-40B4-BE49-F238E27FC236}">
                <a16:creationId xmlns:a16="http://schemas.microsoft.com/office/drawing/2014/main" id="{B57DF9F7-EC8A-497F-8D84-BCCE8CBD5257}"/>
              </a:ext>
            </a:extLst>
          </xdr:cNvPr>
          <xdr:cNvGraphicFramePr>
            <a:graphicFrameLocks/>
          </xdr:cNvGraphicFramePr>
        </xdr:nvGraphicFramePr>
        <xdr:xfrm>
          <a:off x="4198620" y="670560"/>
          <a:ext cx="3520440" cy="922020"/>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13</xdr:col>
      <xdr:colOff>452438</xdr:colOff>
      <xdr:row>3</xdr:row>
      <xdr:rowOff>106680</xdr:rowOff>
    </xdr:from>
    <xdr:to>
      <xdr:col>19</xdr:col>
      <xdr:colOff>563880</xdr:colOff>
      <xdr:row>8</xdr:row>
      <xdr:rowOff>129540</xdr:rowOff>
    </xdr:to>
    <xdr:grpSp>
      <xdr:nvGrpSpPr>
        <xdr:cNvPr id="19" name="Group 18">
          <a:extLst>
            <a:ext uri="{FF2B5EF4-FFF2-40B4-BE49-F238E27FC236}">
              <a16:creationId xmlns:a16="http://schemas.microsoft.com/office/drawing/2014/main" id="{F5A67BC1-D605-401A-A95C-A9036032E217}"/>
            </a:ext>
          </a:extLst>
        </xdr:cNvPr>
        <xdr:cNvGrpSpPr/>
      </xdr:nvGrpSpPr>
      <xdr:grpSpPr>
        <a:xfrm>
          <a:off x="8377238" y="792480"/>
          <a:ext cx="3769042" cy="1165860"/>
          <a:chOff x="7734300" y="662940"/>
          <a:chExt cx="3863340" cy="937260"/>
        </a:xfrm>
      </xdr:grpSpPr>
      <xdr:sp macro="" textlink="">
        <xdr:nvSpPr>
          <xdr:cNvPr id="14" name="Rectangle: Rounded Corners 13">
            <a:extLst>
              <a:ext uri="{FF2B5EF4-FFF2-40B4-BE49-F238E27FC236}">
                <a16:creationId xmlns:a16="http://schemas.microsoft.com/office/drawing/2014/main" id="{F9EC523B-44F4-4831-85AA-36F2431D5397}"/>
              </a:ext>
            </a:extLst>
          </xdr:cNvPr>
          <xdr:cNvSpPr/>
        </xdr:nvSpPr>
        <xdr:spPr>
          <a:xfrm>
            <a:off x="7734300" y="662940"/>
            <a:ext cx="419100" cy="937260"/>
          </a:xfrm>
          <a:prstGeom prst="roundRect">
            <a:avLst/>
          </a:prstGeom>
          <a:solidFill>
            <a:schemeClr val="tx1"/>
          </a:solidFill>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vert="vert270" rtlCol="0" anchor="ctr" anchorCtr="1"/>
          <a:lstStyle/>
          <a:p>
            <a:pPr algn="l"/>
            <a:r>
              <a:rPr lang="en-US" sz="1600" b="1"/>
              <a:t>Renewal</a:t>
            </a:r>
          </a:p>
        </xdr:txBody>
      </xdr:sp>
      <xdr:graphicFrame macro="">
        <xdr:nvGraphicFramePr>
          <xdr:cNvPr id="15" name="Chart 14">
            <a:extLst>
              <a:ext uri="{FF2B5EF4-FFF2-40B4-BE49-F238E27FC236}">
                <a16:creationId xmlns:a16="http://schemas.microsoft.com/office/drawing/2014/main" id="{936F87FD-F126-4429-80EC-C7659A3F1656}"/>
              </a:ext>
            </a:extLst>
          </xdr:cNvPr>
          <xdr:cNvGraphicFramePr>
            <a:graphicFrameLocks/>
          </xdr:cNvGraphicFramePr>
        </xdr:nvGraphicFramePr>
        <xdr:xfrm>
          <a:off x="8183880" y="678180"/>
          <a:ext cx="3413760" cy="91440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0</xdr:col>
      <xdr:colOff>68580</xdr:colOff>
      <xdr:row>8</xdr:row>
      <xdr:rowOff>170776</xdr:rowOff>
    </xdr:from>
    <xdr:to>
      <xdr:col>3</xdr:col>
      <xdr:colOff>350520</xdr:colOff>
      <xdr:row>11</xdr:row>
      <xdr:rowOff>167640</xdr:rowOff>
    </xdr:to>
    <xdr:grpSp>
      <xdr:nvGrpSpPr>
        <xdr:cNvPr id="24" name="Group 23">
          <a:extLst>
            <a:ext uri="{FF2B5EF4-FFF2-40B4-BE49-F238E27FC236}">
              <a16:creationId xmlns:a16="http://schemas.microsoft.com/office/drawing/2014/main" id="{087635C0-5985-45BC-A1ED-CC266DFE8DCE}"/>
            </a:ext>
          </a:extLst>
        </xdr:cNvPr>
        <xdr:cNvGrpSpPr/>
      </xdr:nvGrpSpPr>
      <xdr:grpSpPr>
        <a:xfrm>
          <a:off x="68580" y="1999576"/>
          <a:ext cx="2110740" cy="682664"/>
          <a:chOff x="3291840" y="3619500"/>
          <a:chExt cx="1516380" cy="693420"/>
        </a:xfrm>
      </xdr:grpSpPr>
      <xdr:grpSp>
        <xdr:nvGrpSpPr>
          <xdr:cNvPr id="25" name="Group 24">
            <a:extLst>
              <a:ext uri="{FF2B5EF4-FFF2-40B4-BE49-F238E27FC236}">
                <a16:creationId xmlns:a16="http://schemas.microsoft.com/office/drawing/2014/main" id="{5865C33C-8EC2-4D61-A7F8-13AB4B145B11}"/>
              </a:ext>
            </a:extLst>
          </xdr:cNvPr>
          <xdr:cNvGrpSpPr/>
        </xdr:nvGrpSpPr>
        <xdr:grpSpPr>
          <a:xfrm>
            <a:off x="3291840" y="3619500"/>
            <a:ext cx="1516380" cy="693420"/>
            <a:chOff x="3291840" y="3619500"/>
            <a:chExt cx="1516380" cy="693420"/>
          </a:xfrm>
        </xdr:grpSpPr>
        <xdr:sp macro="" textlink="">
          <xdr:nvSpPr>
            <xdr:cNvPr id="27" name="Rectangle 26">
              <a:extLst>
                <a:ext uri="{FF2B5EF4-FFF2-40B4-BE49-F238E27FC236}">
                  <a16:creationId xmlns:a16="http://schemas.microsoft.com/office/drawing/2014/main" id="{EC8119C4-C124-489E-8D58-0D655A879F82}"/>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8" name="Rectangle: Rounded Corners 27">
              <a:extLst>
                <a:ext uri="{FF2B5EF4-FFF2-40B4-BE49-F238E27FC236}">
                  <a16:creationId xmlns:a16="http://schemas.microsoft.com/office/drawing/2014/main" id="{B5C41FDD-7FFB-4221-98F9-B61CC428AD0B}"/>
                </a:ext>
              </a:extLst>
            </xdr:cNvPr>
            <xdr:cNvSpPr/>
          </xdr:nvSpPr>
          <xdr:spPr>
            <a:xfrm>
              <a:off x="3314700" y="3627119"/>
              <a:ext cx="1463040" cy="253271"/>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a:t>New Plcd</a:t>
              </a:r>
              <a:r>
                <a:rPr lang="en-US" sz="900" b="1" baseline="0"/>
                <a:t> Achievement %</a:t>
              </a:r>
            </a:p>
            <a:p>
              <a:pPr algn="ctr"/>
              <a:endParaRPr lang="en-US" sz="900" b="1"/>
            </a:p>
          </xdr:txBody>
        </xdr:sp>
      </xdr:grpSp>
      <xdr:sp macro="" textlink="$E$8">
        <xdr:nvSpPr>
          <xdr:cNvPr id="26" name="TextBox 25">
            <a:extLst>
              <a:ext uri="{FF2B5EF4-FFF2-40B4-BE49-F238E27FC236}">
                <a16:creationId xmlns:a16="http://schemas.microsoft.com/office/drawing/2014/main" id="{C95B0916-3B08-439B-A9A6-7987F2E52C4C}"/>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17D845-ADED-4836-845E-DFCEA7FAEF11}" type="TxLink">
              <a:rPr lang="en-US" sz="1600" b="1" i="0" u="none" strike="noStrike">
                <a:solidFill>
                  <a:schemeClr val="bg1"/>
                </a:solidFill>
                <a:latin typeface="Calibri"/>
                <a:cs typeface="Calibri"/>
              </a:rPr>
              <a:pPr algn="ctr"/>
              <a:t> </a:t>
            </a:fld>
            <a:endParaRPr lang="en-US" sz="1600" b="1">
              <a:solidFill>
                <a:schemeClr val="bg1"/>
              </a:solidFill>
            </a:endParaRPr>
          </a:p>
        </xdr:txBody>
      </xdr:sp>
    </xdr:grpSp>
    <xdr:clientData/>
  </xdr:twoCellAnchor>
  <xdr:twoCellAnchor>
    <xdr:from>
      <xdr:col>3</xdr:col>
      <xdr:colOff>381000</xdr:colOff>
      <xdr:row>8</xdr:row>
      <xdr:rowOff>163552</xdr:rowOff>
    </xdr:from>
    <xdr:to>
      <xdr:col>6</xdr:col>
      <xdr:colOff>433388</xdr:colOff>
      <xdr:row>11</xdr:row>
      <xdr:rowOff>175260</xdr:rowOff>
    </xdr:to>
    <xdr:grpSp>
      <xdr:nvGrpSpPr>
        <xdr:cNvPr id="29" name="Group 28">
          <a:extLst>
            <a:ext uri="{FF2B5EF4-FFF2-40B4-BE49-F238E27FC236}">
              <a16:creationId xmlns:a16="http://schemas.microsoft.com/office/drawing/2014/main" id="{9ED57AC3-6FF2-4776-BF2A-488FA3EF5FF4}"/>
            </a:ext>
          </a:extLst>
        </xdr:cNvPr>
        <xdr:cNvGrpSpPr/>
      </xdr:nvGrpSpPr>
      <xdr:grpSpPr>
        <a:xfrm>
          <a:off x="2209800" y="1992352"/>
          <a:ext cx="1881188" cy="697508"/>
          <a:chOff x="3291840" y="3619500"/>
          <a:chExt cx="1516380" cy="693420"/>
        </a:xfrm>
      </xdr:grpSpPr>
      <xdr:grpSp>
        <xdr:nvGrpSpPr>
          <xdr:cNvPr id="30" name="Group 29">
            <a:extLst>
              <a:ext uri="{FF2B5EF4-FFF2-40B4-BE49-F238E27FC236}">
                <a16:creationId xmlns:a16="http://schemas.microsoft.com/office/drawing/2014/main" id="{20859850-9787-4271-83AF-6ED66FD24BD9}"/>
              </a:ext>
            </a:extLst>
          </xdr:cNvPr>
          <xdr:cNvGrpSpPr/>
        </xdr:nvGrpSpPr>
        <xdr:grpSpPr>
          <a:xfrm>
            <a:off x="3291840" y="3619500"/>
            <a:ext cx="1516380" cy="693420"/>
            <a:chOff x="3291840" y="3619500"/>
            <a:chExt cx="1516380" cy="693420"/>
          </a:xfrm>
        </xdr:grpSpPr>
        <xdr:sp macro="" textlink="">
          <xdr:nvSpPr>
            <xdr:cNvPr id="32" name="Rectangle 31">
              <a:extLst>
                <a:ext uri="{FF2B5EF4-FFF2-40B4-BE49-F238E27FC236}">
                  <a16:creationId xmlns:a16="http://schemas.microsoft.com/office/drawing/2014/main" id="{B12D6CAC-F856-433B-81A6-32C5A1A9C5D8}"/>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3" name="Rectangle: Rounded Corners 32">
              <a:extLst>
                <a:ext uri="{FF2B5EF4-FFF2-40B4-BE49-F238E27FC236}">
                  <a16:creationId xmlns:a16="http://schemas.microsoft.com/office/drawing/2014/main" id="{3DAA2021-E21B-409D-96D2-AF662CD59B72}"/>
                </a:ext>
              </a:extLst>
            </xdr:cNvPr>
            <xdr:cNvSpPr/>
          </xdr:nvSpPr>
          <xdr:spPr>
            <a:xfrm>
              <a:off x="3314700" y="3627120"/>
              <a:ext cx="1463040" cy="266700"/>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a:t>New</a:t>
              </a:r>
              <a:r>
                <a:rPr lang="en-US" sz="900" b="1" baseline="0"/>
                <a:t> Invoice Achievement %</a:t>
              </a:r>
            </a:p>
            <a:p>
              <a:pPr algn="ctr"/>
              <a:endParaRPr lang="en-US" sz="1100" b="1"/>
            </a:p>
          </xdr:txBody>
        </xdr:sp>
      </xdr:grpSp>
      <xdr:sp macro="" textlink="'KPI 3'!$F$8">
        <xdr:nvSpPr>
          <xdr:cNvPr id="31" name="TextBox 30">
            <a:extLst>
              <a:ext uri="{FF2B5EF4-FFF2-40B4-BE49-F238E27FC236}">
                <a16:creationId xmlns:a16="http://schemas.microsoft.com/office/drawing/2014/main" id="{D9D8D63A-5DCE-4D50-AC50-776978B49495}"/>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DE5033C-EF18-4110-ACC8-7414F5CB4699}" type="TxLink">
              <a:rPr lang="en-US" sz="1800" b="1" i="0" u="none" strike="noStrike">
                <a:solidFill>
                  <a:schemeClr val="bg1"/>
                </a:solidFill>
                <a:latin typeface="Calibri"/>
                <a:cs typeface="Calibri"/>
              </a:rPr>
              <a:pPr algn="ctr"/>
              <a:t>4.21%</a:t>
            </a:fld>
            <a:endParaRPr lang="en-US" sz="2800" b="1">
              <a:solidFill>
                <a:schemeClr val="bg1"/>
              </a:solidFill>
            </a:endParaRPr>
          </a:p>
        </xdr:txBody>
      </xdr:sp>
    </xdr:grpSp>
    <xdr:clientData/>
  </xdr:twoCellAnchor>
  <xdr:twoCellAnchor>
    <xdr:from>
      <xdr:col>6</xdr:col>
      <xdr:colOff>495299</xdr:colOff>
      <xdr:row>8</xdr:row>
      <xdr:rowOff>152400</xdr:rowOff>
    </xdr:from>
    <xdr:to>
      <xdr:col>10</xdr:col>
      <xdr:colOff>234390</xdr:colOff>
      <xdr:row>11</xdr:row>
      <xdr:rowOff>167640</xdr:rowOff>
    </xdr:to>
    <xdr:grpSp>
      <xdr:nvGrpSpPr>
        <xdr:cNvPr id="34" name="Group 33">
          <a:extLst>
            <a:ext uri="{FF2B5EF4-FFF2-40B4-BE49-F238E27FC236}">
              <a16:creationId xmlns:a16="http://schemas.microsoft.com/office/drawing/2014/main" id="{3097A1D0-EA72-4CB3-9072-59CCBDD241BC}"/>
            </a:ext>
          </a:extLst>
        </xdr:cNvPr>
        <xdr:cNvGrpSpPr/>
      </xdr:nvGrpSpPr>
      <xdr:grpSpPr>
        <a:xfrm>
          <a:off x="4152899" y="1981200"/>
          <a:ext cx="2177491" cy="701040"/>
          <a:chOff x="3291840" y="3619500"/>
          <a:chExt cx="1516380" cy="693420"/>
        </a:xfrm>
      </xdr:grpSpPr>
      <xdr:grpSp>
        <xdr:nvGrpSpPr>
          <xdr:cNvPr id="35" name="Group 34">
            <a:extLst>
              <a:ext uri="{FF2B5EF4-FFF2-40B4-BE49-F238E27FC236}">
                <a16:creationId xmlns:a16="http://schemas.microsoft.com/office/drawing/2014/main" id="{2DFC2E49-CCBD-4FDC-824D-824C783E9F14}"/>
              </a:ext>
            </a:extLst>
          </xdr:cNvPr>
          <xdr:cNvGrpSpPr/>
        </xdr:nvGrpSpPr>
        <xdr:grpSpPr>
          <a:xfrm>
            <a:off x="3291840" y="3619500"/>
            <a:ext cx="1516380" cy="693420"/>
            <a:chOff x="3291840" y="3619500"/>
            <a:chExt cx="1516380" cy="693420"/>
          </a:xfrm>
        </xdr:grpSpPr>
        <xdr:sp macro="" textlink="">
          <xdr:nvSpPr>
            <xdr:cNvPr id="37" name="Rectangle 36">
              <a:extLst>
                <a:ext uri="{FF2B5EF4-FFF2-40B4-BE49-F238E27FC236}">
                  <a16:creationId xmlns:a16="http://schemas.microsoft.com/office/drawing/2014/main" id="{CEB4B9A3-64D8-4626-A014-30077DB02248}"/>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38" name="Rectangle: Rounded Corners 37">
              <a:extLst>
                <a:ext uri="{FF2B5EF4-FFF2-40B4-BE49-F238E27FC236}">
                  <a16:creationId xmlns:a16="http://schemas.microsoft.com/office/drawing/2014/main" id="{4D3EBBEA-B6BF-4E2A-A5B7-19F4300D5B3C}"/>
                </a:ext>
              </a:extLst>
            </xdr:cNvPr>
            <xdr:cNvSpPr/>
          </xdr:nvSpPr>
          <xdr:spPr>
            <a:xfrm>
              <a:off x="3314700" y="3627119"/>
              <a:ext cx="1463040" cy="261669"/>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baseline="0"/>
                <a:t>Cross Sell Plcd Achmnt %</a:t>
              </a:r>
            </a:p>
            <a:p>
              <a:pPr algn="ctr"/>
              <a:endParaRPr lang="en-US" sz="1100" b="1"/>
            </a:p>
          </xdr:txBody>
        </xdr:sp>
      </xdr:grpSp>
      <xdr:sp macro="" textlink="'KPI 3'!$E$9">
        <xdr:nvSpPr>
          <xdr:cNvPr id="36" name="TextBox 35">
            <a:extLst>
              <a:ext uri="{FF2B5EF4-FFF2-40B4-BE49-F238E27FC236}">
                <a16:creationId xmlns:a16="http://schemas.microsoft.com/office/drawing/2014/main" id="{E156FDD4-0DC1-49CF-89AE-1C3F8C9E95C1}"/>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9315359-1B0A-4177-A353-B6CA1DA081DD}" type="TxLink">
              <a:rPr lang="en-US" sz="1600" b="1" i="0" u="none" strike="noStrike">
                <a:solidFill>
                  <a:schemeClr val="bg1"/>
                </a:solidFill>
                <a:latin typeface="Calibri"/>
                <a:cs typeface="Calibri"/>
              </a:rPr>
              <a:pPr algn="ctr"/>
              <a:t>59.08%</a:t>
            </a:fld>
            <a:endParaRPr lang="en-US" sz="4000" b="1">
              <a:solidFill>
                <a:schemeClr val="bg1"/>
              </a:solidFill>
            </a:endParaRPr>
          </a:p>
        </xdr:txBody>
      </xdr:sp>
    </xdr:grpSp>
    <xdr:clientData/>
  </xdr:twoCellAnchor>
  <xdr:twoCellAnchor>
    <xdr:from>
      <xdr:col>10</xdr:col>
      <xdr:colOff>274320</xdr:colOff>
      <xdr:row>8</xdr:row>
      <xdr:rowOff>160020</xdr:rowOff>
    </xdr:from>
    <xdr:to>
      <xdr:col>13</xdr:col>
      <xdr:colOff>385763</xdr:colOff>
      <xdr:row>11</xdr:row>
      <xdr:rowOff>175260</xdr:rowOff>
    </xdr:to>
    <xdr:grpSp>
      <xdr:nvGrpSpPr>
        <xdr:cNvPr id="44" name="Group 43">
          <a:extLst>
            <a:ext uri="{FF2B5EF4-FFF2-40B4-BE49-F238E27FC236}">
              <a16:creationId xmlns:a16="http://schemas.microsoft.com/office/drawing/2014/main" id="{DF625FAA-44A9-441F-AA64-F7CD940ACEB9}"/>
            </a:ext>
          </a:extLst>
        </xdr:cNvPr>
        <xdr:cNvGrpSpPr/>
      </xdr:nvGrpSpPr>
      <xdr:grpSpPr>
        <a:xfrm>
          <a:off x="6370320" y="1988820"/>
          <a:ext cx="1940243" cy="701040"/>
          <a:chOff x="3291840" y="3619500"/>
          <a:chExt cx="1516380" cy="693420"/>
        </a:xfrm>
      </xdr:grpSpPr>
      <xdr:grpSp>
        <xdr:nvGrpSpPr>
          <xdr:cNvPr id="45" name="Group 44">
            <a:extLst>
              <a:ext uri="{FF2B5EF4-FFF2-40B4-BE49-F238E27FC236}">
                <a16:creationId xmlns:a16="http://schemas.microsoft.com/office/drawing/2014/main" id="{775C24F7-CDAA-4CCC-BBDE-F7E1968FF7E3}"/>
              </a:ext>
            </a:extLst>
          </xdr:cNvPr>
          <xdr:cNvGrpSpPr/>
        </xdr:nvGrpSpPr>
        <xdr:grpSpPr>
          <a:xfrm>
            <a:off x="3291840" y="3619500"/>
            <a:ext cx="1516380" cy="693420"/>
            <a:chOff x="3291840" y="3619500"/>
            <a:chExt cx="1516380" cy="693420"/>
          </a:xfrm>
        </xdr:grpSpPr>
        <xdr:sp macro="" textlink="">
          <xdr:nvSpPr>
            <xdr:cNvPr id="47" name="Rectangle 46">
              <a:extLst>
                <a:ext uri="{FF2B5EF4-FFF2-40B4-BE49-F238E27FC236}">
                  <a16:creationId xmlns:a16="http://schemas.microsoft.com/office/drawing/2014/main" id="{EEF6735C-3BF6-4418-B9B5-EA93B2D68B2F}"/>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48" name="Rectangle: Rounded Corners 47">
              <a:extLst>
                <a:ext uri="{FF2B5EF4-FFF2-40B4-BE49-F238E27FC236}">
                  <a16:creationId xmlns:a16="http://schemas.microsoft.com/office/drawing/2014/main" id="{1F7B67D1-B665-4283-A5BE-3835B23F5B72}"/>
                </a:ext>
              </a:extLst>
            </xdr:cNvPr>
            <xdr:cNvSpPr/>
          </xdr:nvSpPr>
          <xdr:spPr>
            <a:xfrm>
              <a:off x="3314700" y="3627120"/>
              <a:ext cx="1463040" cy="249732"/>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baseline="0"/>
                <a:t>Cross Sell Invoice Achmnt %</a:t>
              </a:r>
            </a:p>
            <a:p>
              <a:pPr algn="ctr"/>
              <a:endParaRPr lang="en-US" sz="1100" b="1"/>
            </a:p>
          </xdr:txBody>
        </xdr:sp>
      </xdr:grpSp>
      <xdr:sp macro="" textlink="'KPI 3'!$F$9">
        <xdr:nvSpPr>
          <xdr:cNvPr id="46" name="TextBox 45">
            <a:extLst>
              <a:ext uri="{FF2B5EF4-FFF2-40B4-BE49-F238E27FC236}">
                <a16:creationId xmlns:a16="http://schemas.microsoft.com/office/drawing/2014/main" id="{9B3F6D31-8D1B-4671-898F-E6F5DA14D141}"/>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AB87CD-009A-4CD0-B325-0A60B79DE332}" type="TxLink">
              <a:rPr lang="en-US" sz="1600" b="1" i="0" u="none" strike="noStrike">
                <a:solidFill>
                  <a:schemeClr val="bg1"/>
                </a:solidFill>
                <a:latin typeface="Calibri"/>
                <a:cs typeface="Calibri"/>
              </a:rPr>
              <a:pPr algn="ctr"/>
              <a:t>15.14%</a:t>
            </a:fld>
            <a:endParaRPr lang="en-US" sz="4000" b="1">
              <a:solidFill>
                <a:schemeClr val="bg1"/>
              </a:solidFill>
            </a:endParaRPr>
          </a:p>
        </xdr:txBody>
      </xdr:sp>
    </xdr:grpSp>
    <xdr:clientData/>
  </xdr:twoCellAnchor>
  <xdr:twoCellAnchor>
    <xdr:from>
      <xdr:col>17</xdr:col>
      <xdr:colOff>5255</xdr:colOff>
      <xdr:row>8</xdr:row>
      <xdr:rowOff>162910</xdr:rowOff>
    </xdr:from>
    <xdr:to>
      <xdr:col>19</xdr:col>
      <xdr:colOff>556259</xdr:colOff>
      <xdr:row>11</xdr:row>
      <xdr:rowOff>175260</xdr:rowOff>
    </xdr:to>
    <xdr:grpSp>
      <xdr:nvGrpSpPr>
        <xdr:cNvPr id="49" name="Group 48">
          <a:extLst>
            <a:ext uri="{FF2B5EF4-FFF2-40B4-BE49-F238E27FC236}">
              <a16:creationId xmlns:a16="http://schemas.microsoft.com/office/drawing/2014/main" id="{F6B93CD0-BB04-49E6-ACF6-8EB727DE8561}"/>
            </a:ext>
          </a:extLst>
        </xdr:cNvPr>
        <xdr:cNvGrpSpPr/>
      </xdr:nvGrpSpPr>
      <xdr:grpSpPr>
        <a:xfrm>
          <a:off x="10368455" y="1991710"/>
          <a:ext cx="1770204" cy="698150"/>
          <a:chOff x="3291840" y="3619500"/>
          <a:chExt cx="1516380" cy="693420"/>
        </a:xfrm>
      </xdr:grpSpPr>
      <xdr:grpSp>
        <xdr:nvGrpSpPr>
          <xdr:cNvPr id="50" name="Group 49">
            <a:extLst>
              <a:ext uri="{FF2B5EF4-FFF2-40B4-BE49-F238E27FC236}">
                <a16:creationId xmlns:a16="http://schemas.microsoft.com/office/drawing/2014/main" id="{5B62EE90-77F2-4A1A-8802-6E921B4D0BEC}"/>
              </a:ext>
            </a:extLst>
          </xdr:cNvPr>
          <xdr:cNvGrpSpPr/>
        </xdr:nvGrpSpPr>
        <xdr:grpSpPr>
          <a:xfrm>
            <a:off x="3291840" y="3619500"/>
            <a:ext cx="1516380" cy="693420"/>
            <a:chOff x="3291840" y="3619500"/>
            <a:chExt cx="1516380" cy="693420"/>
          </a:xfrm>
        </xdr:grpSpPr>
        <xdr:sp macro="" textlink="">
          <xdr:nvSpPr>
            <xdr:cNvPr id="52" name="Rectangle 51">
              <a:extLst>
                <a:ext uri="{FF2B5EF4-FFF2-40B4-BE49-F238E27FC236}">
                  <a16:creationId xmlns:a16="http://schemas.microsoft.com/office/drawing/2014/main" id="{719B0D76-1041-47CC-ABF8-169A49892652}"/>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3" name="Rectangle: Rounded Corners 52">
              <a:extLst>
                <a:ext uri="{FF2B5EF4-FFF2-40B4-BE49-F238E27FC236}">
                  <a16:creationId xmlns:a16="http://schemas.microsoft.com/office/drawing/2014/main" id="{9A383CA4-C7E5-4F74-991B-85B2B900953F}"/>
                </a:ext>
              </a:extLst>
            </xdr:cNvPr>
            <xdr:cNvSpPr/>
          </xdr:nvSpPr>
          <xdr:spPr>
            <a:xfrm>
              <a:off x="3314700" y="3627119"/>
              <a:ext cx="1463040" cy="246405"/>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baseline="0"/>
                <a:t>Renewal Invoice Achmnt %</a:t>
              </a:r>
            </a:p>
            <a:p>
              <a:pPr algn="ctr"/>
              <a:endParaRPr lang="en-US" sz="1100" b="1"/>
            </a:p>
          </xdr:txBody>
        </xdr:sp>
      </xdr:grpSp>
      <xdr:sp macro="" textlink="'KPI 3'!$F$10">
        <xdr:nvSpPr>
          <xdr:cNvPr id="51" name="TextBox 50">
            <a:extLst>
              <a:ext uri="{FF2B5EF4-FFF2-40B4-BE49-F238E27FC236}">
                <a16:creationId xmlns:a16="http://schemas.microsoft.com/office/drawing/2014/main" id="{576D3D45-DCC8-4A21-8C44-E58E358CD540}"/>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30DF24A-38FA-42D8-A6B0-AB4CDBCCDD13}" type="TxLink">
              <a:rPr lang="en-US" sz="1600" b="1" i="0" u="none" strike="noStrike">
                <a:solidFill>
                  <a:schemeClr val="bg1"/>
                </a:solidFill>
                <a:latin typeface="Calibri"/>
                <a:cs typeface="Calibri"/>
              </a:rPr>
              <a:pPr algn="ctr"/>
              <a:t>68.14%</a:t>
            </a:fld>
            <a:endParaRPr lang="en-US" sz="5400" b="1">
              <a:solidFill>
                <a:schemeClr val="bg1"/>
              </a:solidFill>
            </a:endParaRPr>
          </a:p>
        </xdr:txBody>
      </xdr:sp>
    </xdr:grpSp>
    <xdr:clientData/>
  </xdr:twoCellAnchor>
  <xdr:twoCellAnchor>
    <xdr:from>
      <xdr:col>13</xdr:col>
      <xdr:colOff>447675</xdr:colOff>
      <xdr:row>8</xdr:row>
      <xdr:rowOff>167639</xdr:rowOff>
    </xdr:from>
    <xdr:to>
      <xdr:col>16</xdr:col>
      <xdr:colOff>583325</xdr:colOff>
      <xdr:row>11</xdr:row>
      <xdr:rowOff>167641</xdr:rowOff>
    </xdr:to>
    <xdr:grpSp>
      <xdr:nvGrpSpPr>
        <xdr:cNvPr id="54" name="Group 53">
          <a:extLst>
            <a:ext uri="{FF2B5EF4-FFF2-40B4-BE49-F238E27FC236}">
              <a16:creationId xmlns:a16="http://schemas.microsoft.com/office/drawing/2014/main" id="{19428C6C-009A-4DD8-BD5E-14038B685459}"/>
            </a:ext>
          </a:extLst>
        </xdr:cNvPr>
        <xdr:cNvGrpSpPr/>
      </xdr:nvGrpSpPr>
      <xdr:grpSpPr>
        <a:xfrm>
          <a:off x="8372475" y="1996439"/>
          <a:ext cx="1964450" cy="685802"/>
          <a:chOff x="3291840" y="3619499"/>
          <a:chExt cx="1516380" cy="693420"/>
        </a:xfrm>
      </xdr:grpSpPr>
      <xdr:grpSp>
        <xdr:nvGrpSpPr>
          <xdr:cNvPr id="55" name="Group 54">
            <a:extLst>
              <a:ext uri="{FF2B5EF4-FFF2-40B4-BE49-F238E27FC236}">
                <a16:creationId xmlns:a16="http://schemas.microsoft.com/office/drawing/2014/main" id="{D7C81A00-F0F2-4870-BCAC-97DD6B886B77}"/>
              </a:ext>
            </a:extLst>
          </xdr:cNvPr>
          <xdr:cNvGrpSpPr/>
        </xdr:nvGrpSpPr>
        <xdr:grpSpPr>
          <a:xfrm>
            <a:off x="3291840" y="3619499"/>
            <a:ext cx="1516380" cy="693420"/>
            <a:chOff x="3291840" y="3619499"/>
            <a:chExt cx="1516380" cy="693420"/>
          </a:xfrm>
        </xdr:grpSpPr>
        <xdr:sp macro="" textlink="">
          <xdr:nvSpPr>
            <xdr:cNvPr id="57" name="Rectangle 56">
              <a:extLst>
                <a:ext uri="{FF2B5EF4-FFF2-40B4-BE49-F238E27FC236}">
                  <a16:creationId xmlns:a16="http://schemas.microsoft.com/office/drawing/2014/main" id="{7A8564DF-0F19-4A2F-AD4F-97454D1284BF}"/>
                </a:ext>
              </a:extLst>
            </xdr:cNvPr>
            <xdr:cNvSpPr/>
          </xdr:nvSpPr>
          <xdr:spPr>
            <a:xfrm>
              <a:off x="3291840" y="3619499"/>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8" name="Rectangle: Rounded Corners 57">
              <a:extLst>
                <a:ext uri="{FF2B5EF4-FFF2-40B4-BE49-F238E27FC236}">
                  <a16:creationId xmlns:a16="http://schemas.microsoft.com/office/drawing/2014/main" id="{A71CE69E-0DA9-4C8B-9E45-944118EB9043}"/>
                </a:ext>
              </a:extLst>
            </xdr:cNvPr>
            <xdr:cNvSpPr/>
          </xdr:nvSpPr>
          <xdr:spPr>
            <a:xfrm>
              <a:off x="3314700" y="3627120"/>
              <a:ext cx="1463040" cy="240030"/>
            </a:xfrm>
            <a:prstGeom prst="roundRect">
              <a:avLst/>
            </a:prstGeom>
            <a:ln>
              <a:solidFill>
                <a:schemeClr val="bg1"/>
              </a:solidFill>
            </a:ln>
          </xdr:spPr>
          <xdr:style>
            <a:lnRef idx="2">
              <a:schemeClr val="dk1">
                <a:shade val="50000"/>
              </a:schemeClr>
            </a:lnRef>
            <a:fillRef idx="1">
              <a:schemeClr val="dk1"/>
            </a:fillRef>
            <a:effectRef idx="0">
              <a:schemeClr val="dk1"/>
            </a:effectRef>
            <a:fontRef idx="minor">
              <a:schemeClr val="lt1"/>
            </a:fontRef>
          </xdr:style>
          <xdr:txBody>
            <a:bodyPr vertOverflow="clip" horzOverflow="clip" rtlCol="0" anchor="t"/>
            <a:lstStyle/>
            <a:p>
              <a:pPr algn="ctr"/>
              <a:r>
                <a:rPr lang="en-US" sz="900" b="1" baseline="0"/>
                <a:t>Renewal Plcd Achmnt %</a:t>
              </a:r>
            </a:p>
            <a:p>
              <a:pPr algn="ctr"/>
              <a:endParaRPr lang="en-US" sz="1100" b="1"/>
            </a:p>
          </xdr:txBody>
        </xdr:sp>
      </xdr:grpSp>
      <xdr:sp macro="" textlink="'KPI 3'!$E$10">
        <xdr:nvSpPr>
          <xdr:cNvPr id="56" name="TextBox 55">
            <a:extLst>
              <a:ext uri="{FF2B5EF4-FFF2-40B4-BE49-F238E27FC236}">
                <a16:creationId xmlns:a16="http://schemas.microsoft.com/office/drawing/2014/main" id="{BAED065D-8296-47E2-ADF0-B774B6EEE9B9}"/>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83B5C50-A1C8-4EF4-B5E8-9186232B4E9C}" type="TxLink">
              <a:rPr lang="en-US" sz="1600" b="1" i="0" u="none" strike="noStrike">
                <a:solidFill>
                  <a:schemeClr val="bg1"/>
                </a:solidFill>
                <a:latin typeface="Calibri"/>
                <a:cs typeface="Calibri"/>
              </a:rPr>
              <a:pPr algn="ctr"/>
              <a:t>150.11%</a:t>
            </a:fld>
            <a:endParaRPr lang="en-US" sz="5400" b="1">
              <a:solidFill>
                <a:schemeClr val="bg1"/>
              </a:solidFill>
            </a:endParaRPr>
          </a:p>
        </xdr:txBody>
      </xdr:sp>
    </xdr:grpSp>
    <xdr:clientData/>
  </xdr:twoCellAnchor>
  <xdr:twoCellAnchor>
    <xdr:from>
      <xdr:col>17</xdr:col>
      <xdr:colOff>5255</xdr:colOff>
      <xdr:row>11</xdr:row>
      <xdr:rowOff>205740</xdr:rowOff>
    </xdr:from>
    <xdr:to>
      <xdr:col>19</xdr:col>
      <xdr:colOff>548639</xdr:colOff>
      <xdr:row>15</xdr:row>
      <xdr:rowOff>114300</xdr:rowOff>
    </xdr:to>
    <xdr:grpSp>
      <xdr:nvGrpSpPr>
        <xdr:cNvPr id="67" name="Group 66">
          <a:extLst>
            <a:ext uri="{FF2B5EF4-FFF2-40B4-BE49-F238E27FC236}">
              <a16:creationId xmlns:a16="http://schemas.microsoft.com/office/drawing/2014/main" id="{B2347F09-3AB9-4612-B648-F77773B71F33}"/>
            </a:ext>
          </a:extLst>
        </xdr:cNvPr>
        <xdr:cNvGrpSpPr/>
      </xdr:nvGrpSpPr>
      <xdr:grpSpPr>
        <a:xfrm>
          <a:off x="10368455" y="2720340"/>
          <a:ext cx="1762584" cy="822960"/>
          <a:chOff x="3291841" y="3619501"/>
          <a:chExt cx="1516379" cy="693420"/>
        </a:xfrm>
      </xdr:grpSpPr>
      <xdr:sp macro="" textlink="">
        <xdr:nvSpPr>
          <xdr:cNvPr id="70" name="Rectangle 69">
            <a:extLst>
              <a:ext uri="{FF2B5EF4-FFF2-40B4-BE49-F238E27FC236}">
                <a16:creationId xmlns:a16="http://schemas.microsoft.com/office/drawing/2014/main" id="{E93EF79E-DF1F-4729-A98E-5E3958F49113}"/>
              </a:ext>
            </a:extLst>
          </xdr:cNvPr>
          <xdr:cNvSpPr/>
        </xdr:nvSpPr>
        <xdr:spPr>
          <a:xfrm>
            <a:off x="3291841" y="3619501"/>
            <a:ext cx="1516379"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Opportunity!$I$55">
        <xdr:nvSpPr>
          <xdr:cNvPr id="69" name="TextBox 68">
            <a:extLst>
              <a:ext uri="{FF2B5EF4-FFF2-40B4-BE49-F238E27FC236}">
                <a16:creationId xmlns:a16="http://schemas.microsoft.com/office/drawing/2014/main" id="{60ACF9EA-E961-4508-A894-4D38B4C2F355}"/>
              </a:ext>
            </a:extLst>
          </xdr:cNvPr>
          <xdr:cNvSpPr txBox="1"/>
        </xdr:nvSpPr>
        <xdr:spPr>
          <a:xfrm>
            <a:off x="3413761" y="3954781"/>
            <a:ext cx="1287779"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53D3BCF-8B64-4531-B0CF-FED1445D3272}" type="TxLink">
              <a:rPr lang="en-US" sz="2800" b="0" i="0" u="none" strike="noStrike">
                <a:solidFill>
                  <a:schemeClr val="bg1"/>
                </a:solidFill>
                <a:latin typeface="Gill Sans MT"/>
                <a:cs typeface="Calibri"/>
              </a:rPr>
              <a:pPr algn="ctr"/>
              <a:t>49</a:t>
            </a:fld>
            <a:endParaRPr lang="en-US" sz="41300" b="1">
              <a:solidFill>
                <a:schemeClr val="bg1"/>
              </a:solidFill>
            </a:endParaRPr>
          </a:p>
        </xdr:txBody>
      </xdr:sp>
    </xdr:grpSp>
    <xdr:clientData/>
  </xdr:twoCellAnchor>
  <xdr:twoCellAnchor>
    <xdr:from>
      <xdr:col>16</xdr:col>
      <xdr:colOff>601980</xdr:colOff>
      <xdr:row>12</xdr:row>
      <xdr:rowOff>38100</xdr:rowOff>
    </xdr:from>
    <xdr:to>
      <xdr:col>19</xdr:col>
      <xdr:colOff>510540</xdr:colOff>
      <xdr:row>13</xdr:row>
      <xdr:rowOff>68580</xdr:rowOff>
    </xdr:to>
    <xdr:sp macro="" textlink="">
      <xdr:nvSpPr>
        <xdr:cNvPr id="73" name="TextBox 72">
          <a:extLst>
            <a:ext uri="{FF2B5EF4-FFF2-40B4-BE49-F238E27FC236}">
              <a16:creationId xmlns:a16="http://schemas.microsoft.com/office/drawing/2014/main" id="{3B65B665-D771-48F3-9DB0-2B2119A39C80}"/>
            </a:ext>
          </a:extLst>
        </xdr:cNvPr>
        <xdr:cNvSpPr txBox="1"/>
      </xdr:nvSpPr>
      <xdr:spPr>
        <a:xfrm>
          <a:off x="10355580" y="2781300"/>
          <a:ext cx="1737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Total Opportunity</a:t>
          </a:r>
        </a:p>
      </xdr:txBody>
    </xdr:sp>
    <xdr:clientData/>
  </xdr:twoCellAnchor>
  <xdr:twoCellAnchor>
    <xdr:from>
      <xdr:col>17</xdr:col>
      <xdr:colOff>12875</xdr:colOff>
      <xdr:row>15</xdr:row>
      <xdr:rowOff>160021</xdr:rowOff>
    </xdr:from>
    <xdr:to>
      <xdr:col>19</xdr:col>
      <xdr:colOff>556259</xdr:colOff>
      <xdr:row>19</xdr:row>
      <xdr:rowOff>7620</xdr:rowOff>
    </xdr:to>
    <xdr:grpSp>
      <xdr:nvGrpSpPr>
        <xdr:cNvPr id="74" name="Group 73">
          <a:extLst>
            <a:ext uri="{FF2B5EF4-FFF2-40B4-BE49-F238E27FC236}">
              <a16:creationId xmlns:a16="http://schemas.microsoft.com/office/drawing/2014/main" id="{5B2F0B33-C328-4D03-9763-9D227ABE6DE2}"/>
            </a:ext>
          </a:extLst>
        </xdr:cNvPr>
        <xdr:cNvGrpSpPr/>
      </xdr:nvGrpSpPr>
      <xdr:grpSpPr>
        <a:xfrm>
          <a:off x="10376075" y="3589021"/>
          <a:ext cx="1762584" cy="761999"/>
          <a:chOff x="3291840" y="3619500"/>
          <a:chExt cx="1516380" cy="693420"/>
        </a:xfrm>
      </xdr:grpSpPr>
      <xdr:sp macro="" textlink="">
        <xdr:nvSpPr>
          <xdr:cNvPr id="75" name="Rectangle 74">
            <a:extLst>
              <a:ext uri="{FF2B5EF4-FFF2-40B4-BE49-F238E27FC236}">
                <a16:creationId xmlns:a16="http://schemas.microsoft.com/office/drawing/2014/main" id="{6932545E-EE71-44CB-A681-93B5CFAD482A}"/>
              </a:ext>
            </a:extLst>
          </xdr:cNvPr>
          <xdr:cNvSpPr/>
        </xdr:nvSpPr>
        <xdr:spPr>
          <a:xfrm>
            <a:off x="3291840" y="3619500"/>
            <a:ext cx="1516380" cy="693420"/>
          </a:xfrm>
          <a:prstGeom prst="rect">
            <a:avLst/>
          </a:prstGeom>
          <a:ln>
            <a:solidFill>
              <a:schemeClr val="bg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Opportunity!$I$57">
        <xdr:nvSpPr>
          <xdr:cNvPr id="76" name="TextBox 75">
            <a:extLst>
              <a:ext uri="{FF2B5EF4-FFF2-40B4-BE49-F238E27FC236}">
                <a16:creationId xmlns:a16="http://schemas.microsoft.com/office/drawing/2014/main" id="{EA84AC74-454B-4629-B5EA-6398A5EB6334}"/>
              </a:ext>
            </a:extLst>
          </xdr:cNvPr>
          <xdr:cNvSpPr txBox="1"/>
        </xdr:nvSpPr>
        <xdr:spPr>
          <a:xfrm>
            <a:off x="3413760" y="3954780"/>
            <a:ext cx="1287780" cy="2514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D9D3A3B-EE3E-4CEF-A5A9-9C60826A623B}" type="TxLink">
              <a:rPr lang="en-US" sz="2800" b="0" i="0" u="none" strike="noStrike">
                <a:solidFill>
                  <a:schemeClr val="bg1"/>
                </a:solidFill>
                <a:latin typeface="Gill Sans MT"/>
                <a:cs typeface="Calibri"/>
              </a:rPr>
              <a:pPr algn="ctr"/>
              <a:t>44</a:t>
            </a:fld>
            <a:endParaRPr lang="en-US" sz="19900" b="1">
              <a:solidFill>
                <a:schemeClr val="bg1"/>
              </a:solidFill>
            </a:endParaRPr>
          </a:p>
        </xdr:txBody>
      </xdr:sp>
    </xdr:grpSp>
    <xdr:clientData/>
  </xdr:twoCellAnchor>
  <xdr:twoCellAnchor>
    <xdr:from>
      <xdr:col>16</xdr:col>
      <xdr:colOff>601980</xdr:colOff>
      <xdr:row>15</xdr:row>
      <xdr:rowOff>152400</xdr:rowOff>
    </xdr:from>
    <xdr:to>
      <xdr:col>19</xdr:col>
      <xdr:colOff>510540</xdr:colOff>
      <xdr:row>16</xdr:row>
      <xdr:rowOff>182880</xdr:rowOff>
    </xdr:to>
    <xdr:sp macro="" textlink="">
      <xdr:nvSpPr>
        <xdr:cNvPr id="77" name="TextBox 76">
          <a:extLst>
            <a:ext uri="{FF2B5EF4-FFF2-40B4-BE49-F238E27FC236}">
              <a16:creationId xmlns:a16="http://schemas.microsoft.com/office/drawing/2014/main" id="{45B97B64-5CBA-4554-8D1D-3849D87057A0}"/>
            </a:ext>
          </a:extLst>
        </xdr:cNvPr>
        <xdr:cNvSpPr txBox="1"/>
      </xdr:nvSpPr>
      <xdr:spPr>
        <a:xfrm>
          <a:off x="10355580" y="3581400"/>
          <a:ext cx="17373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050" b="1">
              <a:solidFill>
                <a:schemeClr val="bg1"/>
              </a:solidFill>
            </a:rPr>
            <a:t>Total Open Opportunity</a:t>
          </a:r>
        </a:p>
      </xdr:txBody>
    </xdr:sp>
    <xdr:clientData/>
  </xdr:twoCellAnchor>
  <xdr:twoCellAnchor>
    <xdr:from>
      <xdr:col>0</xdr:col>
      <xdr:colOff>358140</xdr:colOff>
      <xdr:row>10</xdr:row>
      <xdr:rowOff>15240</xdr:rowOff>
    </xdr:from>
    <xdr:to>
      <xdr:col>3</xdr:col>
      <xdr:colOff>134212</xdr:colOff>
      <xdr:row>11</xdr:row>
      <xdr:rowOff>46390</xdr:rowOff>
    </xdr:to>
    <xdr:sp macro="" textlink="'KPI 3'!E8">
      <xdr:nvSpPr>
        <xdr:cNvPr id="68" name="TextBox 67">
          <a:extLst>
            <a:ext uri="{FF2B5EF4-FFF2-40B4-BE49-F238E27FC236}">
              <a16:creationId xmlns:a16="http://schemas.microsoft.com/office/drawing/2014/main" id="{F7CF4893-9469-49F3-9835-5FFEA6316A50}"/>
            </a:ext>
          </a:extLst>
        </xdr:cNvPr>
        <xdr:cNvSpPr txBox="1"/>
      </xdr:nvSpPr>
      <xdr:spPr>
        <a:xfrm>
          <a:off x="358140" y="2301240"/>
          <a:ext cx="1604872" cy="259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5E1832C-5347-4552-A817-5D6EB7E06730}" type="TxLink">
            <a:rPr lang="en-US" sz="1800" b="1" i="0" u="none" strike="noStrike">
              <a:solidFill>
                <a:schemeClr val="bg1"/>
              </a:solidFill>
              <a:latin typeface="Calibri" panose="020F0502020204030204" pitchFamily="34" charset="0"/>
              <a:cs typeface="Calibri" panose="020F0502020204030204" pitchFamily="34" charset="0"/>
            </a:rPr>
            <a:pPr algn="ctr"/>
            <a:t>17.95%</a:t>
          </a:fld>
          <a:endParaRPr lang="en-US" sz="4400" b="1">
            <a:solidFill>
              <a:schemeClr val="bg1"/>
            </a:solidFill>
            <a:latin typeface="Calibri" panose="020F0502020204030204" pitchFamily="34" charset="0"/>
            <a:cs typeface="Calibri" panose="020F0502020204030204" pitchFamily="34" charset="0"/>
          </a:endParaRPr>
        </a:p>
      </xdr:txBody>
    </xdr:sp>
    <xdr:clientData/>
  </xdr:twoCellAnchor>
  <xdr:twoCellAnchor>
    <xdr:from>
      <xdr:col>6</xdr:col>
      <xdr:colOff>504824</xdr:colOff>
      <xdr:row>11</xdr:row>
      <xdr:rowOff>194567</xdr:rowOff>
    </xdr:from>
    <xdr:to>
      <xdr:col>13</xdr:col>
      <xdr:colOff>380999</xdr:colOff>
      <xdr:row>19</xdr:row>
      <xdr:rowOff>30480</xdr:rowOff>
    </xdr:to>
    <xdr:graphicFrame macro="">
      <xdr:nvGraphicFramePr>
        <xdr:cNvPr id="72" name="Chart 71">
          <a:extLst>
            <a:ext uri="{FF2B5EF4-FFF2-40B4-BE49-F238E27FC236}">
              <a16:creationId xmlns:a16="http://schemas.microsoft.com/office/drawing/2014/main" id="{1B973C0F-F090-4EDF-A42B-1B3D4404CE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441960</xdr:colOff>
      <xdr:row>19</xdr:row>
      <xdr:rowOff>76200</xdr:rowOff>
    </xdr:from>
    <xdr:to>
      <xdr:col>19</xdr:col>
      <xdr:colOff>579120</xdr:colOff>
      <xdr:row>27</xdr:row>
      <xdr:rowOff>160020</xdr:rowOff>
    </xdr:to>
    <xdr:graphicFrame macro="">
      <xdr:nvGraphicFramePr>
        <xdr:cNvPr id="78" name="Chart 77">
          <a:extLst>
            <a:ext uri="{FF2B5EF4-FFF2-40B4-BE49-F238E27FC236}">
              <a16:creationId xmlns:a16="http://schemas.microsoft.com/office/drawing/2014/main" id="{7BA454B9-4F26-4864-9DC0-AC47EBDC48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495300</xdr:colOff>
      <xdr:row>19</xdr:row>
      <xdr:rowOff>76200</xdr:rowOff>
    </xdr:from>
    <xdr:to>
      <xdr:col>13</xdr:col>
      <xdr:colOff>388619</xdr:colOff>
      <xdr:row>27</xdr:row>
      <xdr:rowOff>152401</xdr:rowOff>
    </xdr:to>
    <xdr:graphicFrame macro="">
      <xdr:nvGraphicFramePr>
        <xdr:cNvPr id="79" name="Chart 78">
          <a:extLst>
            <a:ext uri="{FF2B5EF4-FFF2-40B4-BE49-F238E27FC236}">
              <a16:creationId xmlns:a16="http://schemas.microsoft.com/office/drawing/2014/main" id="{885D6422-4CF8-4F0F-A7D7-AC575DC3A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45720</xdr:colOff>
      <xdr:row>11</xdr:row>
      <xdr:rowOff>205740</xdr:rowOff>
    </xdr:from>
    <xdr:to>
      <xdr:col>6</xdr:col>
      <xdr:colOff>434340</xdr:colOff>
      <xdr:row>19</xdr:row>
      <xdr:rowOff>38100</xdr:rowOff>
    </xdr:to>
    <xdr:graphicFrame macro="">
      <xdr:nvGraphicFramePr>
        <xdr:cNvPr id="80" name="Chart 79">
          <a:extLst>
            <a:ext uri="{FF2B5EF4-FFF2-40B4-BE49-F238E27FC236}">
              <a16:creationId xmlns:a16="http://schemas.microsoft.com/office/drawing/2014/main" id="{6DAE1D08-A982-44F6-9089-7B0701B239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38100</xdr:colOff>
      <xdr:row>19</xdr:row>
      <xdr:rowOff>76200</xdr:rowOff>
    </xdr:from>
    <xdr:to>
      <xdr:col>6</xdr:col>
      <xdr:colOff>426720</xdr:colOff>
      <xdr:row>27</xdr:row>
      <xdr:rowOff>144780</xdr:rowOff>
    </xdr:to>
    <mc:AlternateContent xmlns:mc="http://schemas.openxmlformats.org/markup-compatibility/2006">
      <mc:Choice xmlns:cx2="http://schemas.microsoft.com/office/drawing/2015/10/21/chartex" Requires="cx2">
        <xdr:graphicFrame macro="">
          <xdr:nvGraphicFramePr>
            <xdr:cNvPr id="81" name="Chart 80">
              <a:extLst>
                <a:ext uri="{FF2B5EF4-FFF2-40B4-BE49-F238E27FC236}">
                  <a16:creationId xmlns:a16="http://schemas.microsoft.com/office/drawing/2014/main" id="{E66F018C-97F7-434B-94DB-5EDE644E199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38100" y="4419600"/>
              <a:ext cx="4046220" cy="18973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20</xdr:col>
      <xdr:colOff>0</xdr:colOff>
      <xdr:row>3</xdr:row>
      <xdr:rowOff>114301</xdr:rowOff>
    </xdr:from>
    <xdr:to>
      <xdr:col>23</xdr:col>
      <xdr:colOff>243840</xdr:colOff>
      <xdr:row>6</xdr:row>
      <xdr:rowOff>91440</xdr:rowOff>
    </xdr:to>
    <mc:AlternateContent xmlns:mc="http://schemas.openxmlformats.org/markup-compatibility/2006" xmlns:a14="http://schemas.microsoft.com/office/drawing/2010/main">
      <mc:Choice Requires="a14">
        <xdr:graphicFrame macro="">
          <xdr:nvGraphicFramePr>
            <xdr:cNvPr id="82" name="meeting_date (Year) 1">
              <a:extLst>
                <a:ext uri="{FF2B5EF4-FFF2-40B4-BE49-F238E27FC236}">
                  <a16:creationId xmlns:a16="http://schemas.microsoft.com/office/drawing/2014/main" id="{F39B7B13-A0EA-4E0D-AA6B-CCC9A6D2D03A}"/>
                </a:ext>
              </a:extLst>
            </xdr:cNvPr>
            <xdr:cNvGraphicFramePr/>
          </xdr:nvGraphicFramePr>
          <xdr:xfrm>
            <a:off x="0" y="0"/>
            <a:ext cx="0" cy="0"/>
          </xdr:xfrm>
          <a:graphic>
            <a:graphicData uri="http://schemas.microsoft.com/office/drawing/2010/slicer">
              <sle:slicer xmlns:sle="http://schemas.microsoft.com/office/drawing/2010/slicer" name="meeting_date (Year) 1"/>
            </a:graphicData>
          </a:graphic>
        </xdr:graphicFrame>
      </mc:Choice>
      <mc:Fallback xmlns="">
        <xdr:sp macro="" textlink="">
          <xdr:nvSpPr>
            <xdr:cNvPr id="0" name=""/>
            <xdr:cNvSpPr>
              <a:spLocks noTextEdit="1"/>
            </xdr:cNvSpPr>
          </xdr:nvSpPr>
          <xdr:spPr>
            <a:xfrm>
              <a:off x="12192000" y="800101"/>
              <a:ext cx="2072640" cy="662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180</xdr:colOff>
      <xdr:row>16</xdr:row>
      <xdr:rowOff>60960</xdr:rowOff>
    </xdr:from>
    <xdr:to>
      <xdr:col>23</xdr:col>
      <xdr:colOff>228600</xdr:colOff>
      <xdr:row>27</xdr:row>
      <xdr:rowOff>175260</xdr:rowOff>
    </xdr:to>
    <mc:AlternateContent xmlns:mc="http://schemas.openxmlformats.org/markup-compatibility/2006" xmlns:a14="http://schemas.microsoft.com/office/drawing/2010/main">
      <mc:Choice Requires="a14">
        <xdr:graphicFrame macro="">
          <xdr:nvGraphicFramePr>
            <xdr:cNvPr id="83" name="Account Executive 1">
              <a:extLst>
                <a:ext uri="{FF2B5EF4-FFF2-40B4-BE49-F238E27FC236}">
                  <a16:creationId xmlns:a16="http://schemas.microsoft.com/office/drawing/2014/main" id="{6C4033B8-E7AD-43B5-8BCF-00C8DA0C2CAB}"/>
                </a:ext>
              </a:extLst>
            </xdr:cNvPr>
            <xdr:cNvGraphicFramePr/>
          </xdr:nvGraphicFramePr>
          <xdr:xfrm>
            <a:off x="0" y="0"/>
            <a:ext cx="0" cy="0"/>
          </xdr:xfrm>
          <a:graphic>
            <a:graphicData uri="http://schemas.microsoft.com/office/drawing/2010/slicer">
              <sle:slicer xmlns:sle="http://schemas.microsoft.com/office/drawing/2010/slicer" name="Account Executive 1"/>
            </a:graphicData>
          </a:graphic>
        </xdr:graphicFrame>
      </mc:Choice>
      <mc:Fallback xmlns="">
        <xdr:sp macro="" textlink="">
          <xdr:nvSpPr>
            <xdr:cNvPr id="0" name=""/>
            <xdr:cNvSpPr>
              <a:spLocks noTextEdit="1"/>
            </xdr:cNvSpPr>
          </xdr:nvSpPr>
          <xdr:spPr>
            <a:xfrm>
              <a:off x="12192180" y="3718560"/>
              <a:ext cx="2057220" cy="26289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0</xdr:colOff>
      <xdr:row>11</xdr:row>
      <xdr:rowOff>38101</xdr:rowOff>
    </xdr:from>
    <xdr:to>
      <xdr:col>23</xdr:col>
      <xdr:colOff>236220</xdr:colOff>
      <xdr:row>16</xdr:row>
      <xdr:rowOff>38100</xdr:rowOff>
    </xdr:to>
    <mc:AlternateContent xmlns:mc="http://schemas.openxmlformats.org/markup-compatibility/2006" xmlns:a14="http://schemas.microsoft.com/office/drawing/2010/main">
      <mc:Choice Requires="a14">
        <xdr:graphicFrame macro="">
          <xdr:nvGraphicFramePr>
            <xdr:cNvPr id="84" name="stage 1">
              <a:extLst>
                <a:ext uri="{FF2B5EF4-FFF2-40B4-BE49-F238E27FC236}">
                  <a16:creationId xmlns:a16="http://schemas.microsoft.com/office/drawing/2014/main" id="{769BC186-8E84-446D-9F99-C06DD111FE9A}"/>
                </a:ext>
              </a:extLst>
            </xdr:cNvPr>
            <xdr:cNvGraphicFramePr/>
          </xdr:nvGraphicFramePr>
          <xdr:xfrm>
            <a:off x="0" y="0"/>
            <a:ext cx="0" cy="0"/>
          </xdr:xfrm>
          <a:graphic>
            <a:graphicData uri="http://schemas.microsoft.com/office/drawing/2010/slicer">
              <sle:slicer xmlns:sle="http://schemas.microsoft.com/office/drawing/2010/slicer" name="stage 1"/>
            </a:graphicData>
          </a:graphic>
        </xdr:graphicFrame>
      </mc:Choice>
      <mc:Fallback xmlns="">
        <xdr:sp macro="" textlink="">
          <xdr:nvSpPr>
            <xdr:cNvPr id="0" name=""/>
            <xdr:cNvSpPr>
              <a:spLocks noTextEdit="1"/>
            </xdr:cNvSpPr>
          </xdr:nvSpPr>
          <xdr:spPr>
            <a:xfrm>
              <a:off x="12192000" y="2552701"/>
              <a:ext cx="2065020" cy="11429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601980</xdr:colOff>
      <xdr:row>6</xdr:row>
      <xdr:rowOff>121921</xdr:rowOff>
    </xdr:from>
    <xdr:to>
      <xdr:col>23</xdr:col>
      <xdr:colOff>236220</xdr:colOff>
      <xdr:row>11</xdr:row>
      <xdr:rowOff>22860</xdr:rowOff>
    </xdr:to>
    <mc:AlternateContent xmlns:mc="http://schemas.openxmlformats.org/markup-compatibility/2006" xmlns:a14="http://schemas.microsoft.com/office/drawing/2010/main">
      <mc:Choice Requires="a14">
        <xdr:graphicFrame macro="">
          <xdr:nvGraphicFramePr>
            <xdr:cNvPr id="85" name="income_class 1">
              <a:extLst>
                <a:ext uri="{FF2B5EF4-FFF2-40B4-BE49-F238E27FC236}">
                  <a16:creationId xmlns:a16="http://schemas.microsoft.com/office/drawing/2014/main" id="{BB25C7A3-1684-43EF-84D1-A76ED90A7F3C}"/>
                </a:ext>
              </a:extLst>
            </xdr:cNvPr>
            <xdr:cNvGraphicFramePr/>
          </xdr:nvGraphicFramePr>
          <xdr:xfrm>
            <a:off x="0" y="0"/>
            <a:ext cx="0" cy="0"/>
          </xdr:xfrm>
          <a:graphic>
            <a:graphicData uri="http://schemas.microsoft.com/office/drawing/2010/slicer">
              <sle:slicer xmlns:sle="http://schemas.microsoft.com/office/drawing/2010/slicer" name="income_class 1"/>
            </a:graphicData>
          </a:graphic>
        </xdr:graphicFrame>
      </mc:Choice>
      <mc:Fallback xmlns="">
        <xdr:sp macro="" textlink="">
          <xdr:nvSpPr>
            <xdr:cNvPr id="0" name=""/>
            <xdr:cNvSpPr>
              <a:spLocks noTextEdit="1"/>
            </xdr:cNvSpPr>
          </xdr:nvSpPr>
          <xdr:spPr>
            <a:xfrm>
              <a:off x="12184380" y="1493521"/>
              <a:ext cx="2072640" cy="10439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441960</xdr:colOff>
      <xdr:row>11</xdr:row>
      <xdr:rowOff>190500</xdr:rowOff>
    </xdr:from>
    <xdr:to>
      <xdr:col>16</xdr:col>
      <xdr:colOff>586740</xdr:colOff>
      <xdr:row>19</xdr:row>
      <xdr:rowOff>7620</xdr:rowOff>
    </xdr:to>
    <xdr:grpSp>
      <xdr:nvGrpSpPr>
        <xdr:cNvPr id="65" name="Group 64">
          <a:extLst>
            <a:ext uri="{FF2B5EF4-FFF2-40B4-BE49-F238E27FC236}">
              <a16:creationId xmlns:a16="http://schemas.microsoft.com/office/drawing/2014/main" id="{2495723D-EF75-41D5-B59F-DA7A4B64AE2F}"/>
            </a:ext>
          </a:extLst>
        </xdr:cNvPr>
        <xdr:cNvGrpSpPr/>
      </xdr:nvGrpSpPr>
      <xdr:grpSpPr>
        <a:xfrm>
          <a:off x="8366760" y="2705100"/>
          <a:ext cx="1973580" cy="1645920"/>
          <a:chOff x="4210102" y="565195"/>
          <a:chExt cx="3474720" cy="2491740"/>
        </a:xfrm>
      </xdr:grpSpPr>
      <xdr:graphicFrame macro="">
        <xdr:nvGraphicFramePr>
          <xdr:cNvPr id="66" name="Chart 65">
            <a:extLst>
              <a:ext uri="{FF2B5EF4-FFF2-40B4-BE49-F238E27FC236}">
                <a16:creationId xmlns:a16="http://schemas.microsoft.com/office/drawing/2014/main" id="{8036E21A-8CE3-4B44-B7C5-F96B43E60C13}"/>
              </a:ext>
            </a:extLst>
          </xdr:cNvPr>
          <xdr:cNvGraphicFramePr/>
        </xdr:nvGraphicFramePr>
        <xdr:xfrm>
          <a:off x="4210102" y="565195"/>
          <a:ext cx="3474720" cy="2491740"/>
        </xdr:xfrm>
        <a:graphic>
          <a:graphicData uri="http://schemas.openxmlformats.org/drawingml/2006/chart">
            <c:chart xmlns:c="http://schemas.openxmlformats.org/drawingml/2006/chart" xmlns:r="http://schemas.openxmlformats.org/officeDocument/2006/relationships" r:id="rId9"/>
          </a:graphicData>
        </a:graphic>
      </xdr:graphicFrame>
      <xdr:sp macro="" textlink="$B$8">
        <xdr:nvSpPr>
          <xdr:cNvPr id="86" name="Oval 85">
            <a:extLst>
              <a:ext uri="{FF2B5EF4-FFF2-40B4-BE49-F238E27FC236}">
                <a16:creationId xmlns:a16="http://schemas.microsoft.com/office/drawing/2014/main" id="{CD8B0A7E-815B-4462-B766-DDEA462C0B7D}"/>
              </a:ext>
            </a:extLst>
          </xdr:cNvPr>
          <xdr:cNvSpPr/>
        </xdr:nvSpPr>
        <xdr:spPr>
          <a:xfrm>
            <a:off x="4897424" y="1577869"/>
            <a:ext cx="1211580" cy="120396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7681B735-284D-4DAB-BB2F-7892661348F5}" type="TxLink">
              <a:rPr lang="en-US" sz="1400" b="1" i="0" u="none" strike="noStrike">
                <a:solidFill>
                  <a:schemeClr val="bg1"/>
                </a:solidFill>
                <a:latin typeface="Gill Sans MT"/>
              </a:rPr>
              <a:pPr algn="ctr"/>
              <a:t>34</a:t>
            </a:fld>
            <a:endParaRPr lang="en-US" sz="1400">
              <a:solidFill>
                <a:schemeClr val="bg1"/>
              </a:solidFill>
            </a:endParaRPr>
          </a:p>
        </xdr:txBody>
      </xdr: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5.4707375" createdVersion="6" refreshedVersion="6" minRefreshableVersion="3" recordCount="11" xr:uid="{ABC5C584-61A8-4E3F-BE06-80A34C32A76A}">
  <cacheSource type="worksheet">
    <worksheetSource ref="A1:G1048576" sheet="Individual Target"/>
  </cacheSource>
  <cacheFields count="7">
    <cacheField name="Branch" numFmtId="0">
      <sharedItems containsBlank="1"/>
    </cacheField>
    <cacheField name="Account Exe ID" numFmtId="0">
      <sharedItems containsString="0" containsBlank="1" containsNumber="1" containsInteger="1" minValue="1" maxValue="13"/>
    </cacheField>
    <cacheField name="Employee Name" numFmtId="0">
      <sharedItems containsBlank="1"/>
    </cacheField>
    <cacheField name="New Role2" numFmtId="0">
      <sharedItems containsBlank="1"/>
    </cacheField>
    <cacheField name="New Budget" numFmtId="0">
      <sharedItems containsString="0" containsBlank="1" containsNumber="1" containsInteger="1" minValue="12888" maxValue="12788092"/>
    </cacheField>
    <cacheField name="Cross sell bugdet" numFmtId="0">
      <sharedItems containsString="0" containsBlank="1" containsNumber="1" containsInteger="1" minValue="128777" maxValue="12365300"/>
    </cacheField>
    <cacheField name="Renewal Budget" numFmtId="0">
      <sharedItems containsString="0" containsBlank="1" containsNumber="1" containsInteger="1" minValue="12900" maxValue="501000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5.470738194446" createdVersion="6" refreshedVersion="6" minRefreshableVersion="3" recordCount="962" xr:uid="{7520B296-E14C-4396-9A71-3A83C99E2650}">
  <cacheSource type="worksheet">
    <worksheetSource ref="A1:Q1048576" sheet="Brokerage"/>
  </cacheSource>
  <cacheFields count="17">
    <cacheField name="client_name" numFmtId="0">
      <sharedItems containsBlank="1"/>
    </cacheField>
    <cacheField name="policy_number" numFmtId="0">
      <sharedItems containsBlank="1" containsMixedTypes="1" containsNumber="1" containsInteger="1" minValue="3393" maxValue="3.213400201191E+23"/>
    </cacheField>
    <cacheField name="policy_status" numFmtId="0">
      <sharedItems containsBlank="1"/>
    </cacheField>
    <cacheField name="policy_start_date" numFmtId="0">
      <sharedItems containsNonDate="0" containsDate="1" containsString="0" containsBlank="1" minDate="2015-10-13T00:00:00" maxDate="2020-05-19T00:00:00"/>
    </cacheField>
    <cacheField name="policy_end_date" numFmtId="0">
      <sharedItems containsNonDate="0" containsDate="1" containsString="0" containsBlank="1" minDate="2017-12-30T00:00:00" maxDate="2027-05-29T00:00:00"/>
    </cacheField>
    <cacheField name="product_group" numFmtId="0">
      <sharedItems containsBlank="1"/>
    </cacheField>
    <cacheField name="Account Exe ID" numFmtId="0">
      <sharedItems containsString="0" containsBlank="1" containsNumber="1" containsInteger="1" minValue="1" maxValue="13"/>
    </cacheField>
    <cacheField name="Exe Name" numFmtId="0">
      <sharedItems containsBlank="1"/>
    </cacheField>
    <cacheField name="branch_name" numFmtId="0">
      <sharedItems containsBlank="1"/>
    </cacheField>
    <cacheField name="solution_group" numFmtId="0">
      <sharedItems containsBlank="1"/>
    </cacheField>
    <cacheField name="income_class" numFmtId="0">
      <sharedItems containsBlank="1" count="4">
        <s v="Renewal"/>
        <s v="New"/>
        <s v="Cross Sell"/>
        <m/>
      </sharedItems>
    </cacheField>
    <cacheField name="Amount" numFmtId="0">
      <sharedItems containsString="0" containsBlank="1" containsNumber="1" minValue="-98802.02" maxValue="1474120.36"/>
    </cacheField>
    <cacheField name="income_due_date" numFmtId="0">
      <sharedItems containsNonDate="0" containsDate="1" containsString="0" containsBlank="1" minDate="2015-10-13T00:00:00" maxDate="2108-04-01T00:00:00"/>
    </cacheField>
    <cacheField name="revenue_transaction_type" numFmtId="0">
      <sharedItems containsBlank="1"/>
    </cacheField>
    <cacheField name="renewal_status" numFmtId="0">
      <sharedItems containsBlank="1"/>
    </cacheField>
    <cacheField name="lapse_reason" numFmtId="0">
      <sharedItems containsBlank="1"/>
    </cacheField>
    <cacheField name="last_updated_date" numFmtId="0">
      <sharedItems containsNonDate="0" containsDate="1" containsString="0" containsBlank="1" minDate="2020-01-22T00:00:00" maxDate="2020-01-23T00:00:0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5.470738425924" createdVersion="6" refreshedVersion="6" minRefreshableVersion="3" recordCount="10" xr:uid="{D31355BE-83DA-4247-993A-8665564B7D41}">
  <cacheSource type="worksheet">
    <worksheetSource ref="A1:I1048576" sheet="Fees"/>
  </cacheSource>
  <cacheFields count="9">
    <cacheField name="client_name" numFmtId="0">
      <sharedItems containsBlank="1"/>
    </cacheField>
    <cacheField name="branch_name" numFmtId="0">
      <sharedItems containsBlank="1"/>
    </cacheField>
    <cacheField name="solution_group" numFmtId="0">
      <sharedItems containsBlank="1"/>
    </cacheField>
    <cacheField name="Account Exe ID" numFmtId="0">
      <sharedItems containsString="0" containsBlank="1" containsNumber="1" containsInteger="1" minValue="1" maxValue="3"/>
    </cacheField>
    <cacheField name="Account Executive" numFmtId="0">
      <sharedItems containsBlank="1"/>
    </cacheField>
    <cacheField name="income_class" numFmtId="0">
      <sharedItems containsBlank="1" count="4">
        <s v="Cross Sell"/>
        <s v="Renewal"/>
        <s v="New"/>
        <m/>
      </sharedItems>
    </cacheField>
    <cacheField name="Amount" numFmtId="0">
      <sharedItems containsString="0" containsBlank="1" containsNumber="1" containsInteger="1" minValue="2200" maxValue="139240"/>
    </cacheField>
    <cacheField name="income_due_date" numFmtId="0">
      <sharedItems containsNonDate="0" containsDate="1" containsString="0" containsBlank="1" minDate="2019-01-21T00:00:00" maxDate="2019-12-21T00:00:00"/>
    </cacheField>
    <cacheField name="revenue_transaction_type"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875.470738657408" createdVersion="6" refreshedVersion="6" minRefreshableVersion="3" recordCount="205" xr:uid="{D0DA538E-4981-4B8B-8B25-6E3C92C411D6}">
  <cacheSource type="worksheet">
    <worksheetSource ref="A1:L1048576" sheet="Invoice"/>
  </cacheSource>
  <cacheFields count="12">
    <cacheField name="invoice_number" numFmtId="0">
      <sharedItems containsString="0" containsBlank="1" containsNumber="1" containsInteger="1" minValue="1900001087" maxValue="2000001604"/>
    </cacheField>
    <cacheField name="invoice_date" numFmtId="0">
      <sharedItems containsNonDate="0" containsDate="1" containsString="0" containsBlank="1" minDate="2019-04-11T00:00:00" maxDate="2020-01-17T00:00:00"/>
    </cacheField>
    <cacheField name="revenue_transaction_type" numFmtId="0">
      <sharedItems containsBlank="1"/>
    </cacheField>
    <cacheField name="branch_name" numFmtId="0">
      <sharedItems containsBlank="1"/>
    </cacheField>
    <cacheField name="solution_group" numFmtId="0">
      <sharedItems containsBlank="1"/>
    </cacheField>
    <cacheField name="Account_Exe_ID" numFmtId="0">
      <sharedItems containsString="0" containsBlank="1" containsNumber="1" containsInteger="1" minValue="1" maxValue="13"/>
    </cacheField>
    <cacheField name="Account_Executive" numFmtId="0">
      <sharedItems containsBlank="1"/>
    </cacheField>
    <cacheField name="income_class" numFmtId="0">
      <sharedItems containsBlank="1" count="4">
        <s v="New"/>
        <s v="Renewal"/>
        <s v="Cross Sell"/>
        <m/>
      </sharedItems>
    </cacheField>
    <cacheField name="Client_Name" numFmtId="0">
      <sharedItems containsBlank="1"/>
    </cacheField>
    <cacheField name="policy_number" numFmtId="0">
      <sharedItems containsBlank="1" containsMixedTypes="1" containsNumber="1" containsInteger="1" minValue="3393" maxValue="3.213400201191E+23"/>
    </cacheField>
    <cacheField name="Amount" numFmtId="0">
      <sharedItems containsString="0" containsBlank="1" containsNumber="1" containsInteger="1" minValue="64" maxValue="914999"/>
    </cacheField>
    <cacheField name="income_due_date" numFmtId="0">
      <sharedItems containsNonDate="0" containsDate="1" containsString="0" containsBlank="1" minDate="2019-01-01T00:00:00" maxDate="2019-12-21T00:00:0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67129632" backgroundQuery="1" createdVersion="6" refreshedVersion="6" minRefreshableVersion="3" recordCount="0" supportSubquery="1" supportAdvancedDrill="1" xr:uid="{6C5573D1-C5B6-4969-9879-D34768FD55E3}">
  <cacheSource type="external" connectionId="7"/>
  <cacheFields count="2">
    <cacheField name="[gcrm_opportunity_202001231041].[stage].[stage]" caption="stage" numFmtId="0" hierarchy="7" level="1">
      <sharedItems count="3">
        <s v="Negotiate"/>
        <s v="Propose Solution"/>
        <s v="Qualify Opportunity"/>
      </sharedItems>
    </cacheField>
    <cacheField name="[Measures].[Sum of revenue_amount]" caption="Sum of revenue_amount" numFmtId="0" hierarchy="43" level="32767"/>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0"/>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68750002" backgroundQuery="1" createdVersion="6" refreshedVersion="6" minRefreshableVersion="3" recordCount="0" supportSubquery="1" supportAdvancedDrill="1" xr:uid="{9208372A-53A1-4ABF-9B33-7A76139E92E6}">
  <cacheSource type="external" connectionId="7"/>
  <cacheFields count="4">
    <cacheField name="[invoice_202001231041].[Account_Executive].[Account_Executive]" caption="Account_Executive" numFmtId="0" hierarchy="19" level="1">
      <sharedItems count="8">
        <s v="Abhinav Shivam"/>
        <s v="Animesh Rawat"/>
        <s v="Gilbert"/>
        <s v="Juli"/>
        <s v="Ketan Jain"/>
        <s v="Mark"/>
        <s v="Vidit Shah"/>
        <s v="Vinay"/>
      </sharedItems>
    </cacheField>
    <cacheField name="[Measures].[Count of invoice_number]" caption="Count of invoice_number" numFmtId="0" hierarchy="39" level="32767"/>
    <cacheField name="[invoice_202001231041].[income_class].[income_class]" caption="income_class" numFmtId="0" hierarchy="20" level="1">
      <sharedItems count="3">
        <s v="Cross Sell"/>
        <s v="New"/>
        <s v="Renewal"/>
      </sharedItems>
    </cacheField>
    <cacheField name="[gcrm_opportunity_202001231041].[stage].[stage]" caption="stage" numFmtId="0" hierarchy="7" level="1">
      <sharedItems containsSemiMixedTypes="0" containsNonDate="0" containsString="0"/>
    </cacheField>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3"/>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2" memberValueDatatype="130" unbalanced="0">
      <fieldsUsage count="2">
        <fieldUsage x="-1"/>
        <fieldUsage x="0"/>
      </fieldsUsage>
    </cacheHierarchy>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fieldsUsage count="2">
        <fieldUsage x="-1"/>
        <fieldUsage x="2"/>
      </fieldsUsage>
    </cacheHierarchy>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69328703" backgroundQuery="1" createdVersion="6" refreshedVersion="6" minRefreshableVersion="3" recordCount="0" supportSubquery="1" supportAdvancedDrill="1" xr:uid="{A3FC50C7-E73A-4F50-AD52-C82E59F58644}">
  <cacheSource type="external" connectionId="7"/>
  <cacheFields count="3">
    <cacheField name="[meeting_list_202001231041].[Account Executive].[Account Executive]" caption="Account Executive" numFmtId="0" hierarchy="26" level="1">
      <sharedItems count="9">
        <s v="Abhinav Shivam"/>
        <s v="Animesh Rawat"/>
        <s v="Gilbert"/>
        <s v="Ketan Jain"/>
        <s v="Manish Sharma"/>
        <s v="Mark"/>
        <s v="Raju Kumar"/>
        <s v="Shivani Sharma"/>
        <s v="Vinay"/>
      </sharedItems>
    </cacheField>
    <cacheField name="[Measures].[Count of meeting_date (Year)]" caption="Count of meeting_date (Year)" numFmtId="0" hierarchy="40" level="32767"/>
    <cacheField name="[gcrm_opportunity_202001231041].[stage].[stage]" caption="stage" numFmtId="0" hierarchy="7" level="1">
      <sharedItems containsSemiMixedTypes="0" containsNonDate="0" containsString="0"/>
    </cacheField>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fieldsUsage count="2">
        <fieldUsage x="-1"/>
        <fieldUsage x="0"/>
      </fieldsUsage>
    </cacheHierarchy>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69907411" backgroundQuery="1" createdVersion="6" refreshedVersion="6" minRefreshableVersion="3" recordCount="0" supportSubquery="1" supportAdvancedDrill="1" xr:uid="{5AF60BB4-DDED-4490-A935-9C9A208DB1A8}">
  <cacheSource type="external" connectionId="7"/>
  <cacheFields count="3">
    <cacheField name="[gcrm_opportunity_202001231041].[product_group].[product_group]" caption="product_group" numFmtId="0" hierarchy="10" level="1">
      <sharedItems count="7">
        <s v="Employee Benefits"/>
        <s v="Engineering"/>
        <s v="Fire"/>
        <s v="Liability"/>
        <s v="Marine"/>
        <s v="Miscellaneous"/>
        <s v="Terrorism"/>
      </sharedItems>
    </cacheField>
    <cacheField name="[Measures].[Count of opportunity_id]" caption="Count of opportunity_id" numFmtId="0" hierarchy="41" level="32767"/>
    <cacheField name="[gcrm_opportunity_202001231041].[stage].[stage]" caption="stage" numFmtId="0" hierarchy="7" level="1">
      <sharedItems containsSemiMixedTypes="0" containsNonDate="0" containsString="0"/>
    </cacheField>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2" memberValueDatatype="130" unbalanced="0">
      <fieldsUsage count="2">
        <fieldUsage x="-1"/>
        <fieldUsage x="0"/>
      </fieldsUsage>
    </cacheHierarchy>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70833334" backgroundQuery="1" createdVersion="6" refreshedVersion="6" minRefreshableVersion="3" recordCount="0" supportSubquery="1" supportAdvancedDrill="1" xr:uid="{81598C2C-D651-4855-BC4F-211D758A7D9B}">
  <cacheSource type="external" connectionId="7"/>
  <cacheFields count="3">
    <cacheField name="[gcrm_opportunity_202001231041].[opportunity_name].[opportunity_name]" caption="opportunity_name" numFmtId="0" level="1">
      <sharedItems count="11">
        <s v="CVP GMC"/>
        <s v="DB -Mega Policy"/>
        <s v="EL-Group Mediclaim"/>
        <s v="Fire"/>
        <s v="BE-Mega policy" u="1"/>
        <s v="BC - PDBI" u="1"/>
        <s v="DS- Employees GMC" u="1"/>
        <s v="OP-GMC" u="1"/>
        <s v="ag - Property Insurance" u="1"/>
        <s v="ITNL - IAR (Operational Roads)" u="1"/>
        <s v="Sin GMC" u="1"/>
      </sharedItems>
    </cacheField>
    <cacheField name="[Measures].[Sum of revenue_amount]" caption="Sum of revenue_amount" numFmtId="0" hierarchy="43" level="32767"/>
    <cacheField name="[gcrm_opportunity_202001231041].[stage].[stage]" caption="stage" numFmtId="0" hierarchy="7" level="1">
      <sharedItems containsSemiMixedTypes="0" containsNonDate="0" containsString="0"/>
    </cacheField>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2" memberValueDatatype="130" unbalanced="0">
      <fieldsUsage count="2">
        <fieldUsage x="-1"/>
        <fieldUsage x="0"/>
      </fieldsUsage>
    </cacheHierarchy>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oneField="1" hidden="1">
      <fieldsUsage count="1">
        <fieldUsage x="1"/>
      </fieldsUsage>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3471527781" backgroundQuery="1" createdVersion="6" refreshedVersion="6" minRefreshableVersion="3" recordCount="0" supportSubquery="1" supportAdvancedDrill="1" xr:uid="{D7446C79-AFC4-4109-9588-BA614DFCEE69}">
  <cacheSource type="external" connectionId="7"/>
  <cacheFields count="3">
    <cacheField name="[meeting_list_202001231041].[meeting_date (Year)].[meeting_date (Year)]" caption="meeting_date (Year)" numFmtId="0" hierarchy="30" level="1">
      <sharedItems count="2">
        <s v="2019"/>
        <s v="2020"/>
      </sharedItems>
    </cacheField>
    <cacheField name="[Measures].[Count of meeting_date (Year)]" caption="Count of meeting_date (Year)" numFmtId="0" hierarchy="40" level="32767"/>
    <cacheField name="[gcrm_opportunity_202001231041].[stage].[stage]" caption="stage" numFmtId="0" hierarchy="7" level="1">
      <sharedItems containsSemiMixedTypes="0" containsNonDate="0" containsString="0"/>
    </cacheField>
  </cacheFields>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fieldsUsage count="2">
        <fieldUsage x="-1"/>
        <fieldUsage x="2"/>
      </fieldsUsage>
    </cacheHierarchy>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fieldsUsage count="2">
        <fieldUsage x="-1"/>
        <fieldUsage x="0"/>
      </fieldsUsage>
    </cacheHierarchy>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oneField="1" hidden="1">
      <fieldsUsage count="1">
        <fieldUsage x="1"/>
      </fieldsUsage>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5"/>
        </ext>
      </extLst>
    </cacheHierarchy>
  </cacheHierarchies>
  <kpis count="0"/>
  <dimensions count="4">
    <dimension name="gcrm_opportunity_202001231041" uniqueName="[gcrm_opportunity_202001231041]" caption="gcrm_opportunity_202001231041"/>
    <dimension name="invoice_202001231041" uniqueName="[invoice_202001231041]" caption="invoice_202001231041"/>
    <dimension measure="1" name="Measures" uniqueName="[Measures]" caption="Measures"/>
    <dimension name="meeting_list_202001231041" uniqueName="[meeting_list_202001231041]" caption="meeting_list_202001231041"/>
  </dimensions>
  <measureGroups count="3">
    <measureGroup name="gcrm_opportunity_202001231041" caption="gcrm_opportunity_202001231041"/>
    <measureGroup name="invoice_202001231041" caption="invoice_202001231041"/>
    <measureGroup name="meeting_list_202001231041" caption="meeting_list_202001231041"/>
  </measureGroups>
  <maps count="3">
    <map measureGroup="0" dimension="0"/>
    <map measureGroup="1" dimension="1"/>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5875.470720138888" backgroundQuery="1" createdVersion="3" refreshedVersion="6" minRefreshableVersion="3" recordCount="0" supportSubquery="1" supportAdvancedDrill="1" xr:uid="{72CEE90A-0804-45E0-8A63-243B9DA1C01E}">
  <cacheSource type="external" connectionId="7">
    <extLst>
      <ext xmlns:x14="http://schemas.microsoft.com/office/spreadsheetml/2009/9/main" uri="{F057638F-6D5F-4e77-A914-E7F072B9BCA8}">
        <x14:sourceConnection name="ThisWorkbookDataModel"/>
      </ext>
    </extLst>
  </cacheSource>
  <cacheFields count="0"/>
  <cacheHierarchies count="44">
    <cacheHierarchy uniqueName="[gcrm_opportunity_202001231041].[opportunity_name]" caption="opportunity_name" attribute="1" defaultMemberUniqueName="[gcrm_opportunity_202001231041].[opportunity_name].[All]" allUniqueName="[gcrm_opportunity_202001231041].[opportunity_name].[All]" dimensionUniqueName="[gcrm_opportunity_202001231041]" displayFolder="" count="0" memberValueDatatype="130" unbalanced="0"/>
    <cacheHierarchy uniqueName="[gcrm_opportunity_202001231041].[opportunity_id]" caption="opportunity_id" attribute="1" defaultMemberUniqueName="[gcrm_opportunity_202001231041].[opportunity_id].[All]" allUniqueName="[gcrm_opportunity_202001231041].[opportunity_id].[All]" dimensionUniqueName="[gcrm_opportunity_202001231041]" displayFolder="" count="0" memberValueDatatype="130" unbalanced="0"/>
    <cacheHierarchy uniqueName="[gcrm_opportunity_202001231041].[Account Exe Id]" caption="Account Exe Id" attribute="1" defaultMemberUniqueName="[gcrm_opportunity_202001231041].[Account Exe Id].[All]" allUniqueName="[gcrm_opportunity_202001231041].[Account Exe Id].[All]" dimensionUniqueName="[gcrm_opportunity_202001231041]" displayFolder="" count="0" memberValueDatatype="20" unbalanced="0"/>
    <cacheHierarchy uniqueName="[gcrm_opportunity_202001231041].[Account Executive]" caption="Account Executive" attribute="1" defaultMemberUniqueName="[gcrm_opportunity_202001231041].[Account Executive].[All]" allUniqueName="[gcrm_opportunity_202001231041].[Account Executive].[All]" dimensionUniqueName="[gcrm_opportunity_202001231041]" displayFolder="" count="0" memberValueDatatype="130" unbalanced="0"/>
    <cacheHierarchy uniqueName="[gcrm_opportunity_202001231041].[premium_amount]" caption="premium_amount" attribute="1" defaultMemberUniqueName="[gcrm_opportunity_202001231041].[premium_amount].[All]" allUniqueName="[gcrm_opportunity_202001231041].[premium_amount].[All]" dimensionUniqueName="[gcrm_opportunity_202001231041]" displayFolder="" count="0" memberValueDatatype="20" unbalanced="0"/>
    <cacheHierarchy uniqueName="[gcrm_opportunity_202001231041].[revenue_amount]" caption="revenue_amount" attribute="1" defaultMemberUniqueName="[gcrm_opportunity_202001231041].[revenue_amount].[All]" allUniqueName="[gcrm_opportunity_202001231041].[revenue_amount].[All]" dimensionUniqueName="[gcrm_opportunity_202001231041]" displayFolder="" count="0" memberValueDatatype="20" unbalanced="0"/>
    <cacheHierarchy uniqueName="[gcrm_opportunity_202001231041].[closing_date]" caption="closing_date" attribute="1" time="1" defaultMemberUniqueName="[gcrm_opportunity_202001231041].[closing_date].[All]" allUniqueName="[gcrm_opportunity_202001231041].[closing_date].[All]" dimensionUniqueName="[gcrm_opportunity_202001231041]" displayFolder="" count="0" memberValueDatatype="7" unbalanced="0"/>
    <cacheHierarchy uniqueName="[gcrm_opportunity_202001231041].[stage]" caption="stage" attribute="1" defaultMemberUniqueName="[gcrm_opportunity_202001231041].[stage].[All]" allUniqueName="[gcrm_opportunity_202001231041].[stage].[All]" dimensionUniqueName="[gcrm_opportunity_202001231041]" displayFolder="" count="2" memberValueDatatype="130" unbalanced="0"/>
    <cacheHierarchy uniqueName="[gcrm_opportunity_202001231041].[branch]" caption="branch" attribute="1" defaultMemberUniqueName="[gcrm_opportunity_202001231041].[branch].[All]" allUniqueName="[gcrm_opportunity_202001231041].[branch].[All]" dimensionUniqueName="[gcrm_opportunity_202001231041]" displayFolder="" count="0" memberValueDatatype="130" unbalanced="0"/>
    <cacheHierarchy uniqueName="[gcrm_opportunity_202001231041].[specialty]" caption="specialty" attribute="1" defaultMemberUniqueName="[gcrm_opportunity_202001231041].[specialty].[All]" allUniqueName="[gcrm_opportunity_202001231041].[specialty].[All]" dimensionUniqueName="[gcrm_opportunity_202001231041]" displayFolder="" count="0" memberValueDatatype="130" unbalanced="0"/>
    <cacheHierarchy uniqueName="[gcrm_opportunity_202001231041].[product_group]" caption="product_group" attribute="1" defaultMemberUniqueName="[gcrm_opportunity_202001231041].[product_group].[All]" allUniqueName="[gcrm_opportunity_202001231041].[product_group].[All]" dimensionUniqueName="[gcrm_opportunity_202001231041]" displayFolder="" count="0" memberValueDatatype="130" unbalanced="0"/>
    <cacheHierarchy uniqueName="[gcrm_opportunity_202001231041].[product_sub_group]" caption="product_sub_group" attribute="1" defaultMemberUniqueName="[gcrm_opportunity_202001231041].[product_sub_group].[All]" allUniqueName="[gcrm_opportunity_202001231041].[product_sub_group].[All]" dimensionUniqueName="[gcrm_opportunity_202001231041]" displayFolder="" count="0" memberValueDatatype="130" unbalanced="0"/>
    <cacheHierarchy uniqueName="[gcrm_opportunity_202001231041].[risk_details]" caption="risk_details" attribute="1" defaultMemberUniqueName="[gcrm_opportunity_202001231041].[risk_details].[All]" allUniqueName="[gcrm_opportunity_202001231041].[risk_details].[All]" dimensionUniqueName="[gcrm_opportunity_202001231041]" displayFolder="" count="0" memberValueDatatype="130" unbalanced="0"/>
    <cacheHierarchy uniqueName="[invoice_202001231041].[invoice_number]" caption="invoice_number" attribute="1" defaultMemberUniqueName="[invoice_202001231041].[invoice_number].[All]" allUniqueName="[invoice_202001231041].[invoice_number].[All]" dimensionUniqueName="[invoice_202001231041]" displayFolder="" count="0" memberValueDatatype="20" unbalanced="0"/>
    <cacheHierarchy uniqueName="[invoice_202001231041].[invoice_date]" caption="invoice_date" attribute="1" time="1" defaultMemberUniqueName="[invoice_202001231041].[invoice_date].[All]" allUniqueName="[invoice_202001231041].[invoice_date].[All]" dimensionUniqueName="[invoice_202001231041]" displayFolder="" count="0" memberValueDatatype="7" unbalanced="0"/>
    <cacheHierarchy uniqueName="[invoice_202001231041].[revenue_transaction_type]" caption="revenue_transaction_type" attribute="1" defaultMemberUniqueName="[invoice_202001231041].[revenue_transaction_type].[All]" allUniqueName="[invoice_202001231041].[revenue_transaction_type].[All]" dimensionUniqueName="[invoice_202001231041]" displayFolder="" count="0" memberValueDatatype="130" unbalanced="0"/>
    <cacheHierarchy uniqueName="[invoice_202001231041].[branch_name]" caption="branch_name" attribute="1" defaultMemberUniqueName="[invoice_202001231041].[branch_name].[All]" allUniqueName="[invoice_202001231041].[branch_name].[All]" dimensionUniqueName="[invoice_202001231041]" displayFolder="" count="0" memberValueDatatype="130" unbalanced="0"/>
    <cacheHierarchy uniqueName="[invoice_202001231041].[solution_group]" caption="solution_group" attribute="1" defaultMemberUniqueName="[invoice_202001231041].[solution_group].[All]" allUniqueName="[invoice_202001231041].[solution_group].[All]" dimensionUniqueName="[invoice_202001231041]" displayFolder="" count="0" memberValueDatatype="130" unbalanced="0"/>
    <cacheHierarchy uniqueName="[invoice_202001231041].[Account_Exe_ID]" caption="Account_Exe_ID" attribute="1" defaultMemberUniqueName="[invoice_202001231041].[Account_Exe_ID].[All]" allUniqueName="[invoice_202001231041].[Account_Exe_ID].[All]" dimensionUniqueName="[invoice_202001231041]" displayFolder="" count="0" memberValueDatatype="20" unbalanced="0"/>
    <cacheHierarchy uniqueName="[invoice_202001231041].[Account_Executive]" caption="Account_Executive" attribute="1" defaultMemberUniqueName="[invoice_202001231041].[Account_Executive].[All]" allUniqueName="[invoice_202001231041].[Account_Executive].[All]" dimensionUniqueName="[invoice_202001231041]" displayFolder="" count="0" memberValueDatatype="130" unbalanced="0"/>
    <cacheHierarchy uniqueName="[invoice_202001231041].[income_class]" caption="income_class" attribute="1" defaultMemberUniqueName="[invoice_202001231041].[income_class].[All]" allUniqueName="[invoice_202001231041].[income_class].[All]" dimensionUniqueName="[invoice_202001231041]" displayFolder="" count="2" memberValueDatatype="130" unbalanced="0"/>
    <cacheHierarchy uniqueName="[invoice_202001231041].[Client_Name]" caption="Client_Name" attribute="1" defaultMemberUniqueName="[invoice_202001231041].[Client_Name].[All]" allUniqueName="[invoice_202001231041].[Client_Name].[All]" dimensionUniqueName="[invoice_202001231041]" displayFolder="" count="0" memberValueDatatype="130" unbalanced="0"/>
    <cacheHierarchy uniqueName="[invoice_202001231041].[policy_number]" caption="policy_number" attribute="1" defaultMemberUniqueName="[invoice_202001231041].[policy_number].[All]" allUniqueName="[invoice_202001231041].[policy_number].[All]" dimensionUniqueName="[invoice_202001231041]" displayFolder="" count="0" memberValueDatatype="130" unbalanced="0"/>
    <cacheHierarchy uniqueName="[invoice_202001231041].[Amount]" caption="Amount" attribute="1" defaultMemberUniqueName="[invoice_202001231041].[Amount].[All]" allUniqueName="[invoice_202001231041].[Amount].[All]" dimensionUniqueName="[invoice_202001231041]" displayFolder="" count="0" memberValueDatatype="20" unbalanced="0"/>
    <cacheHierarchy uniqueName="[invoice_202001231041].[income_due_date]" caption="income_due_date" attribute="1" time="1" defaultMemberUniqueName="[invoice_202001231041].[income_due_date].[All]" allUniqueName="[invoice_202001231041].[income_due_date].[All]" dimensionUniqueName="[invoice_202001231041]" displayFolder="" count="0" memberValueDatatype="7" unbalanced="0"/>
    <cacheHierarchy uniqueName="[meeting_list_202001231041].[Account Exe ID]" caption="Account Exe ID" attribute="1" defaultMemberUniqueName="[meeting_list_202001231041].[Account Exe ID].[All]" allUniqueName="[meeting_list_202001231041].[Account Exe ID].[All]" dimensionUniqueName="[meeting_list_202001231041]" displayFolder="" count="0" memberValueDatatype="20" unbalanced="0"/>
    <cacheHierarchy uniqueName="[meeting_list_202001231041].[Account Executive]" caption="Account Executive" attribute="1" defaultMemberUniqueName="[meeting_list_202001231041].[Account Executive].[All]" allUniqueName="[meeting_list_202001231041].[Account Executive].[All]" dimensionUniqueName="[meeting_list_202001231041]" displayFolder="" count="2" memberValueDatatype="130" unbalanced="0"/>
    <cacheHierarchy uniqueName="[meeting_list_202001231041].[branch_name]" caption="branch_name" attribute="1" defaultMemberUniqueName="[meeting_list_202001231041].[branch_name].[All]" allUniqueName="[meeting_list_202001231041].[branch_name].[All]" dimensionUniqueName="[meeting_list_202001231041]" displayFolder="" count="0" memberValueDatatype="130" unbalanced="0"/>
    <cacheHierarchy uniqueName="[meeting_list_202001231041].[global_attendees]" caption="global_attendees" attribute="1" defaultMemberUniqueName="[meeting_list_202001231041].[global_attendees].[All]" allUniqueName="[meeting_list_202001231041].[global_attendees].[All]" dimensionUniqueName="[meeting_list_202001231041]" displayFolder="" count="0" memberValueDatatype="130" unbalanced="0"/>
    <cacheHierarchy uniqueName="[meeting_list_202001231041].[meeting_date]" caption="meeting_date" attribute="1" time="1" defaultMemberUniqueName="[meeting_list_202001231041].[meeting_date].[All]" allUniqueName="[meeting_list_202001231041].[meeting_date].[All]" dimensionUniqueName="[meeting_list_202001231041]" displayFolder="" count="0" memberValueDatatype="7" unbalanced="0"/>
    <cacheHierarchy uniqueName="[meeting_list_202001231041].[meeting_date (Year)]" caption="meeting_date (Year)" attribute="1" defaultMemberUniqueName="[meeting_list_202001231041].[meeting_date (Year)].[All]" allUniqueName="[meeting_list_202001231041].[meeting_date (Year)].[All]" dimensionUniqueName="[meeting_list_202001231041]" displayFolder="" count="2" memberValueDatatype="130" unbalanced="0"/>
    <cacheHierarchy uniqueName="[meeting_list_202001231041].[meeting_date (Quarter)]" caption="meeting_date (Quarter)" attribute="1" defaultMemberUniqueName="[meeting_list_202001231041].[meeting_date (Quarter)].[All]" allUniqueName="[meeting_list_202001231041].[meeting_date (Quarter)].[All]" dimensionUniqueName="[meeting_list_202001231041]" displayFolder="" count="0" memberValueDatatype="130" unbalanced="0"/>
    <cacheHierarchy uniqueName="[meeting_list_202001231041].[meeting_date (Month)]" caption="meeting_date (Month)" attribute="1" defaultMemberUniqueName="[meeting_list_202001231041].[meeting_date (Month)].[All]" allUniqueName="[meeting_list_202001231041].[meeting_date (Month)].[All]" dimensionUniqueName="[meeting_list_202001231041]" displayFolder="" count="0" memberValueDatatype="130" unbalanced="0"/>
    <cacheHierarchy uniqueName="[meeting_list_202001231041].[meeting_date (Month Index)]" caption="meeting_date (Month Index)" attribute="1" defaultMemberUniqueName="[meeting_list_202001231041].[meeting_date (Month Index)].[All]" allUniqueName="[meeting_list_202001231041].[meeting_date (Month Index)].[All]" dimensionUniqueName="[meeting_list_202001231041]" displayFolder="" count="0" memberValueDatatype="20" unbalanced="0" hidden="1"/>
    <cacheHierarchy uniqueName="[Measures].[__XL_Count invoice_202001231041]" caption="__XL_Count invoice_202001231041" measure="1" displayFolder="" measureGroup="invoice_202001231041" count="0" hidden="1"/>
    <cacheHierarchy uniqueName="[Measures].[__XL_Count meeting_list_202001231041]" caption="__XL_Count meeting_list_202001231041" measure="1" displayFolder="" measureGroup="meeting_list_202001231041" count="0" hidden="1"/>
    <cacheHierarchy uniqueName="[Measures].[__XL_Count gcrm_opportunity_202001231041]" caption="__XL_Count gcrm_opportunity_202001231041" measure="1" displayFolder="" measureGroup="gcrm_opportunity_202001231041" count="0" hidden="1"/>
    <cacheHierarchy uniqueName="[Measures].[__No measures defined]" caption="__No measures defined" measure="1" displayFolder="" count="0" hidden="1"/>
    <cacheHierarchy uniqueName="[Measures].[Sum of invoice_number]" caption="Sum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invoice_number]" caption="Count of invoice_number" measure="1" displayFolder="" measureGroup="invoice_202001231041" count="0" hidden="1">
      <extLst>
        <ext xmlns:x15="http://schemas.microsoft.com/office/spreadsheetml/2010/11/main" uri="{B97F6D7D-B522-45F9-BDA1-12C45D357490}">
          <x15:cacheHierarchy aggregatedColumn="13"/>
        </ext>
      </extLst>
    </cacheHierarchy>
    <cacheHierarchy uniqueName="[Measures].[Count of meeting_date (Year)]" caption="Count of meeting_date (Year)" measure="1" displayFolder="" measureGroup="meeting_list_202001231041" count="0" hidden="1">
      <extLst>
        <ext xmlns:x15="http://schemas.microsoft.com/office/spreadsheetml/2010/11/main" uri="{B97F6D7D-B522-45F9-BDA1-12C45D357490}">
          <x15:cacheHierarchy aggregatedColumn="30"/>
        </ext>
      </extLst>
    </cacheHierarchy>
    <cacheHierarchy uniqueName="[Measures].[Count of opportunity_id]" caption="Count of opportunity_id" measure="1" displayFolder="" measureGroup="gcrm_opportunity_202001231041" count="0" hidden="1">
      <extLst>
        <ext xmlns:x15="http://schemas.microsoft.com/office/spreadsheetml/2010/11/main" uri="{B97F6D7D-B522-45F9-BDA1-12C45D357490}">
          <x15:cacheHierarchy aggregatedColumn="1"/>
        </ext>
      </extLst>
    </cacheHierarchy>
    <cacheHierarchy uniqueName="[Measures].[Sum of premium_amount]" caption="Sum of premium_amount" measure="1" displayFolder="" measureGroup="gcrm_opportunity_202001231041" count="0" hidden="1">
      <extLst>
        <ext xmlns:x15="http://schemas.microsoft.com/office/spreadsheetml/2010/11/main" uri="{B97F6D7D-B522-45F9-BDA1-12C45D357490}">
          <x15:cacheHierarchy aggregatedColumn="4"/>
        </ext>
      </extLst>
    </cacheHierarchy>
    <cacheHierarchy uniqueName="[Measures].[Sum of revenue_amount]" caption="Sum of revenue_amount" measure="1" displayFolder="" measureGroup="gcrm_opportunity_202001231041" count="0" hidden="1">
      <extLst>
        <ext xmlns:x15="http://schemas.microsoft.com/office/spreadsheetml/2010/11/main" uri="{B97F6D7D-B522-45F9-BDA1-12C45D357490}">
          <x15:cacheHierarchy aggregatedColumn="5"/>
        </ext>
      </extLst>
    </cacheHierarchy>
  </cacheHierarchies>
  <kpis count="0"/>
  <extLst>
    <ext xmlns:x14="http://schemas.microsoft.com/office/spreadsheetml/2009/9/main" uri="{725AE2AE-9491-48be-B2B4-4EB974FC3084}">
      <x14:pivotCacheDefinition slicerData="1" pivotCacheId="1511880147"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
  <r>
    <s v="Ahmedabad"/>
    <n v="1"/>
    <s v="Vinay"/>
    <s v="Hunter &amp; Farmer"/>
    <n v="12788092"/>
    <n v="250000"/>
    <n v="1500000"/>
  </r>
  <r>
    <s v="Ahmedabad"/>
    <n v="2"/>
    <s v="Abhinav Shivam"/>
    <s v="Servicer"/>
    <n v="129902"/>
    <n v="129000"/>
    <n v="1289000"/>
  </r>
  <r>
    <s v="Ahmedabad"/>
    <n v="3"/>
    <s v="Animesh Rawat"/>
    <s v="Servicer"/>
    <n v="1278023"/>
    <n v="12365300"/>
    <n v="12900"/>
  </r>
  <r>
    <s v="Ahmedabad"/>
    <n v="4"/>
    <s v="Gilbert"/>
    <s v="BH"/>
    <n v="1000000"/>
    <n v="500000"/>
    <n v="1010000"/>
  </r>
  <r>
    <s v="Ahmedabad"/>
    <n v="5"/>
    <s v="Juli"/>
    <s v="Hunter &amp; Farmer"/>
    <n v="1250000"/>
    <n v="3500000"/>
    <n v="750000"/>
  </r>
  <r>
    <s v="Ahmedabad"/>
    <n v="8"/>
    <s v="Kumar Jha"/>
    <s v="Servicer Claims"/>
    <n v="1345000"/>
    <n v="170034"/>
    <n v="1298673"/>
  </r>
  <r>
    <s v="Ahmedabad"/>
    <n v="6"/>
    <s v="Ketan Jain"/>
    <s v="Hunter &amp; Farmer"/>
    <n v="500000"/>
    <n v="1250000"/>
    <n v="500000"/>
  </r>
  <r>
    <s v="Ahmedabad"/>
    <n v="9"/>
    <s v="Manish Sharma"/>
    <s v="Hunter &amp; Farmer"/>
    <n v="1350000"/>
    <n v="750000"/>
    <n v="750000"/>
  </r>
  <r>
    <s v="Ahmedabad"/>
    <n v="10"/>
    <s v="Mark"/>
    <s v="Servicer"/>
    <n v="19888"/>
    <n v="128777"/>
    <n v="198882"/>
  </r>
  <r>
    <s v="Ahmedabad"/>
    <n v="13"/>
    <s v="Vidit Shah"/>
    <s v="Farmer &amp; Servicer"/>
    <n v="12888"/>
    <n v="1040000"/>
    <n v="5010000"/>
  </r>
  <r>
    <m/>
    <m/>
    <m/>
    <m/>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2">
  <r>
    <s v="A"/>
    <s v="2414 2022 4088 1000 000"/>
    <s v="Active"/>
    <d v="2018-04-19T00:00:00"/>
    <d v="2019-04-18T00:00:00"/>
    <s v="Marine"/>
    <n v="1"/>
    <s v="Vinay"/>
    <s v="Ahmedabad"/>
    <s v="Marine"/>
    <x v="0"/>
    <n v="32186.720000000001"/>
    <d v="2018-04-19T00:00:00"/>
    <s v="Brokerage"/>
    <s v="Inception"/>
    <m/>
    <d v="2020-01-22T00:00:00"/>
  </r>
  <r>
    <s v="Sanjay Trivedi"/>
    <n v="2.4142027811737001E+18"/>
    <s v="Active"/>
    <d v="2019-05-01T00:00:00"/>
    <d v="2020-04-30T00:00:00"/>
    <s v="Marine"/>
    <n v="2"/>
    <s v="Abhinav Shivam"/>
    <s v="Ahmedabad"/>
    <s v="Marine"/>
    <x v="1"/>
    <n v="23590.71"/>
    <d v="2019-05-01T00:00:00"/>
    <s v="Brokerage"/>
    <s v="Inception"/>
    <m/>
    <d v="2020-01-22T00:00:00"/>
  </r>
  <r>
    <s v="Anita Sethi"/>
    <s v="0655001825 01"/>
    <s v="Inactive"/>
    <d v="2018-09-13T00:00:00"/>
    <d v="2019-09-12T00:00:00"/>
    <s v="Fire"/>
    <n v="1"/>
    <s v="Vinay"/>
    <s v="Ahmedabad"/>
    <s v="Construction, Power &amp; Infrastructure"/>
    <x v="0"/>
    <n v="4611.96"/>
    <d v="2018-09-13T00:00:00"/>
    <s v="Brokerage"/>
    <s v="Inception"/>
    <m/>
    <d v="2020-01-22T00:00:00"/>
  </r>
  <r>
    <s v="Ashok Chatterjee"/>
    <n v="12139156"/>
    <s v="Active"/>
    <d v="2019-09-13T00:00:00"/>
    <d v="2020-09-12T00:00:00"/>
    <s v="Fire"/>
    <n v="1"/>
    <s v="Vinay"/>
    <s v="Ahmedabad"/>
    <s v="Construction, Power &amp; Infrastructure"/>
    <x v="0"/>
    <n v="4975.41"/>
    <d v="2019-09-13T00:00:00"/>
    <s v="Brokerage"/>
    <s v="Renewal"/>
    <m/>
    <d v="2020-01-22T00:00:00"/>
  </r>
  <r>
    <s v="Rani Agarwal"/>
    <n v="2200090892"/>
    <s v="Active"/>
    <d v="2018-11-06T00:00:00"/>
    <d v="2019-11-05T00:00:00"/>
    <s v="Miscellaneous"/>
    <n v="1"/>
    <s v="Vinay"/>
    <s v="Ahmedabad"/>
    <s v="Liability"/>
    <x v="0"/>
    <n v="1198.8800000000001"/>
    <d v="2018-11-06T00:00:00"/>
    <s v="Brokerage"/>
    <s v="Inception"/>
    <m/>
    <d v="2020-01-22T00:00:00"/>
  </r>
  <r>
    <s v="Arjun Rao"/>
    <s v="237164239 00"/>
    <s v="Active"/>
    <d v="2019-02-01T00:00:00"/>
    <d v="2020-01-31T00:00:00"/>
    <s v="Employee Benefits"/>
    <n v="10"/>
    <s v="Mark"/>
    <s v="Ahmedabad"/>
    <s v="Employee Benefits (EB)"/>
    <x v="0"/>
    <n v="1825.43"/>
    <d v="2019-02-01T00:00:00"/>
    <s v="Brokerage"/>
    <s v="Inception"/>
    <m/>
    <d v="2020-01-22T00:00:00"/>
  </r>
  <r>
    <s v="Anil Naik"/>
    <s v="4101190700000015-00"/>
    <s v="Active"/>
    <d v="2019-06-25T00:00:00"/>
    <d v="2020-06-24T00:00:00"/>
    <s v="Employee Benefits"/>
    <n v="2"/>
    <s v="Abhinav Shivam"/>
    <s v="Ahmedabad"/>
    <s v="Employee Benefits (EB)"/>
    <x v="1"/>
    <n v="79833.600000000006"/>
    <d v="2019-06-25T00:00:00"/>
    <s v="Brokerage"/>
    <s v="Endorsement"/>
    <m/>
    <d v="2020-01-22T00:00:00"/>
  </r>
  <r>
    <s v="Simran Trivedi"/>
    <s v="4101190700000015-00"/>
    <s v="Active"/>
    <d v="2019-06-25T00:00:00"/>
    <d v="2020-06-24T00:00:00"/>
    <s v="Employee Benefits"/>
    <n v="2"/>
    <s v="Abhinav Shivam"/>
    <s v="Ahmedabad"/>
    <s v="Employee Benefits (EB)"/>
    <x v="1"/>
    <n v="11435.86"/>
    <d v="2019-08-02T00:00:00"/>
    <s v="Brokerage "/>
    <s v="Endorsement"/>
    <m/>
    <d v="2020-01-22T00:00:00"/>
  </r>
  <r>
    <s v="Dhruv Chopra"/>
    <n v="2250010276"/>
    <s v="Active"/>
    <d v="2018-04-25T00:00:00"/>
    <d v="2019-04-24T00:00:00"/>
    <s v="Miscellaneous"/>
    <n v="1"/>
    <s v="Vinay"/>
    <s v="Ahmedabad"/>
    <s v="Employee Benefits (EB)"/>
    <x v="0"/>
    <n v="847.38"/>
    <d v="2018-04-25T00:00:00"/>
    <s v="Brokerage"/>
    <s v="Inception"/>
    <m/>
    <d v="2020-01-22T00:00:00"/>
  </r>
  <r>
    <s v="Jaya Chopra"/>
    <s v="2414 2022 1261 2200 000"/>
    <s v="Inactive"/>
    <d v="2018-04-25T00:00:00"/>
    <d v="2019-04-24T00:00:00"/>
    <s v="Marine"/>
    <n v="1"/>
    <s v="Vinay"/>
    <s v="Ahmedabad"/>
    <s v="Marine"/>
    <x v="0"/>
    <n v="9900"/>
    <d v="2018-04-25T00:00:00"/>
    <s v="Brokerage"/>
    <s v="Inception"/>
    <m/>
    <d v="2020-01-22T00:00:00"/>
  </r>
  <r>
    <s v="Kiran Goyal"/>
    <s v="2414 2026 2374 7800 000"/>
    <s v="Active"/>
    <d v="2019-01-11T00:00:00"/>
    <d v="2020-01-10T00:00:00"/>
    <s v="Marine"/>
    <n v="1"/>
    <s v="Vinay"/>
    <s v="Ahmedabad"/>
    <s v="Marine"/>
    <x v="0"/>
    <n v="8250"/>
    <d v="2019-01-11T00:00:00"/>
    <s v="Brokerage"/>
    <s v="Renewal"/>
    <m/>
    <d v="2020-01-22T00:00:00"/>
  </r>
  <r>
    <s v="Pravin Sengupta"/>
    <n v="91001900000001"/>
    <s v="Active"/>
    <d v="2018-04-25T00:00:00"/>
    <d v="2019-04-24T00:00:00"/>
    <s v="Fire"/>
    <n v="1"/>
    <s v="Vinay"/>
    <s v="Ahmedabad"/>
    <s v="Property / BI"/>
    <x v="0"/>
    <n v="4093.2"/>
    <d v="2018-04-25T00:00:00"/>
    <s v="Brokerage"/>
    <s v="Inception"/>
    <m/>
    <d v="2020-01-22T00:00:00"/>
  </r>
  <r>
    <s v="Snehal Das"/>
    <n v="2280062933"/>
    <s v="Active"/>
    <d v="2019-05-20T00:00:00"/>
    <d v="2020-05-19T00:00:00"/>
    <s v="Miscellaneous"/>
    <n v="1"/>
    <s v="Vinay"/>
    <s v="Ahmedabad"/>
    <s v="Liability"/>
    <x v="0"/>
    <n v="8117"/>
    <d v="2020-01-20T00:00:00"/>
    <s v="Brokerage"/>
    <s v="Renewal"/>
    <m/>
    <d v="2020-01-22T00:00:00"/>
  </r>
  <r>
    <s v="Rajesh Malhotra"/>
    <s v="LWC/I2568913/71/05/006144"/>
    <s v="Inactive"/>
    <d v="2018-05-20T00:00:00"/>
    <d v="2019-05-19T00:00:00"/>
    <s v="Miscellaneous"/>
    <n v="1"/>
    <s v="Vinay"/>
    <s v="Ahmedabad"/>
    <s v="Liability"/>
    <x v="0"/>
    <n v="6101.25"/>
    <d v="2018-05-20T00:00:00"/>
    <s v="Brokerage"/>
    <s v="Inception"/>
    <m/>
    <d v="2020-01-22T00:00:00"/>
  </r>
  <r>
    <s v="Archana Bhatia"/>
    <s v="0865074115 01"/>
    <s v="Active"/>
    <d v="2018-06-12T00:00:00"/>
    <d v="2019-06-11T00:00:00"/>
    <s v="Marine"/>
    <n v="9"/>
    <s v="Manish Sharma"/>
    <s v="Ahmedabad"/>
    <s v="Small Medium Enterpries (SME)"/>
    <x v="0"/>
    <n v="1980"/>
    <d v="2018-06-12T00:00:00"/>
    <s v="Brokerage"/>
    <s v="Endorsement"/>
    <m/>
    <d v="2020-01-22T00:00:00"/>
  </r>
  <r>
    <s v="Ashok Reddy"/>
    <s v="0865074115 01"/>
    <s v="Active"/>
    <d v="2018-06-12T00:00:00"/>
    <d v="2019-06-11T00:00:00"/>
    <s v="Marine"/>
    <n v="9"/>
    <s v="Manish Sharma"/>
    <s v="Ahmedabad"/>
    <s v="Small Medium Enterpries (SME)"/>
    <x v="0"/>
    <n v="1980"/>
    <d v="2019-01-10T00:00:00"/>
    <s v="Brokerage "/>
    <s v="Endorsement"/>
    <m/>
    <d v="2020-01-22T00:00:00"/>
  </r>
  <r>
    <s v="Madhuri Bhatia"/>
    <n v="3.1142029634361999E+18"/>
    <s v="Active"/>
    <d v="2019-08-26T00:00:00"/>
    <d v="2020-08-25T00:00:00"/>
    <s v="Miscellaneous"/>
    <n v="3"/>
    <s v="Animesh Rawat"/>
    <s v="Ahmedabad"/>
    <s v="Global Client Network (GNB Inward)"/>
    <x v="2"/>
    <n v="2089.25"/>
    <d v="2019-08-26T00:00:00"/>
    <s v="Brokerage"/>
    <s v="Inception"/>
    <m/>
    <d v="2020-01-22T00:00:00"/>
  </r>
  <r>
    <s v="Pranav Mishra"/>
    <s v="OG-19-2202-1018-00000055"/>
    <s v="Active"/>
    <d v="2019-01-01T00:00:00"/>
    <d v="2019-12-31T00:00:00"/>
    <s v="Marine"/>
    <n v="3"/>
    <s v="Animesh Rawat"/>
    <s v="Ahmedabad"/>
    <s v="Global Client Network (GNB Inward)"/>
    <x v="2"/>
    <n v="21768.61"/>
    <d v="2019-01-01T00:00:00"/>
    <s v="Brokerage"/>
    <s v="Inception"/>
    <m/>
    <d v="2020-01-22T00:00:00"/>
  </r>
  <r>
    <s v="Rina Goyal"/>
    <s v="OG-19-2202-3383-00000009"/>
    <s v="Active"/>
    <d v="2019-01-01T00:00:00"/>
    <d v="2019-12-31T00:00:00"/>
    <s v="Liability"/>
    <n v="3"/>
    <s v="Animesh Rawat"/>
    <s v="Ahmedabad"/>
    <s v="Global Client Network (GNB Inward)"/>
    <x v="2"/>
    <n v="12019.2"/>
    <d v="2019-01-01T00:00:00"/>
    <s v="Brokerage"/>
    <s v="Inception"/>
    <m/>
    <d v="2020-01-22T00:00:00"/>
  </r>
  <r>
    <s v="Geeta Gupta"/>
    <n v="640002371"/>
    <s v="Active"/>
    <d v="2018-04-01T00:00:00"/>
    <d v="2019-03-31T00:00:00"/>
    <s v="Miscellaneous"/>
    <n v="3"/>
    <s v="Animesh Rawat"/>
    <s v="Ahmedabad"/>
    <s v="Global Client Network (GNB Inward)"/>
    <x v="0"/>
    <n v="66937.72"/>
    <d v="2018-04-01T00:00:00"/>
    <s v="Brokerage"/>
    <s v="Inception"/>
    <m/>
    <d v="2020-01-22T00:00:00"/>
  </r>
  <r>
    <s v="Sudhir Roy"/>
    <s v="0830017443 01"/>
    <s v="Active"/>
    <d v="2018-05-11T00:00:00"/>
    <d v="2019-05-10T00:00:00"/>
    <s v="Marine"/>
    <n v="3"/>
    <s v="Animesh Rawat"/>
    <s v="Ahmedabad"/>
    <s v="Global Client Network (GNB Inward)"/>
    <x v="0"/>
    <n v="78374.84"/>
    <d v="2018-05-11T00:00:00"/>
    <s v="Brokerage"/>
    <s v="Inception"/>
    <m/>
    <d v="2020-01-22T00:00:00"/>
  </r>
  <r>
    <s v="Rani Kaul"/>
    <s v="180876-0000-00"/>
    <s v="Inactive"/>
    <d v="2018-04-01T00:00:00"/>
    <d v="2019-03-31T00:00:00"/>
    <s v="Employee Benefits"/>
    <n v="10"/>
    <s v="Mark"/>
    <s v="Ahmedabad"/>
    <s v="Employee Benefits (EB)"/>
    <x v="0"/>
    <n v="60000"/>
    <d v="2018-04-01T00:00:00"/>
    <s v="Brokerage"/>
    <s v="Inception"/>
    <m/>
    <d v="2020-01-22T00:00:00"/>
  </r>
  <r>
    <s v="Kavita Sharma"/>
    <s v="180876-0000-01"/>
    <s v="Active"/>
    <d v="2019-04-01T00:00:00"/>
    <d v="2020-03-31T00:00:00"/>
    <s v="Employee Benefits"/>
    <n v="10"/>
    <s v="Mark"/>
    <s v="Ahmedabad"/>
    <s v="Employee Benefits (EB)"/>
    <x v="0"/>
    <n v="60000"/>
    <d v="2019-04-01T00:00:00"/>
    <s v="Brokerage"/>
    <s v="Renewal"/>
    <m/>
    <d v="2020-01-22T00:00:00"/>
  </r>
  <r>
    <s v="Shikha Sethi"/>
    <s v="180876-0000-01"/>
    <s v="Active"/>
    <d v="2019-04-01T00:00:00"/>
    <d v="2020-03-31T00:00:00"/>
    <s v="Employee Benefits"/>
    <n v="10"/>
    <s v="Mark"/>
    <s v="Ahmedabad"/>
    <s v="Employee Benefits (EB)"/>
    <x v="0"/>
    <n v="60000"/>
    <d v="2019-04-01T00:00:00"/>
    <s v="Brokerage"/>
    <s v="Renewal"/>
    <m/>
    <d v="2020-01-22T00:00:00"/>
  </r>
  <r>
    <s v="Amit Bhargava"/>
    <n v="2250002346"/>
    <s v="Active"/>
    <d v="2018-04-01T00:00:00"/>
    <d v="2019-03-31T00:00:00"/>
    <s v="Miscellaneous"/>
    <n v="3"/>
    <s v="Animesh Rawat"/>
    <s v="Ahmedabad"/>
    <s v="Global Client Network (GNB Inward)"/>
    <x v="0"/>
    <n v="4715.63"/>
    <d v="2018-04-01T00:00:00"/>
    <s v="Brokerage"/>
    <s v="Inception"/>
    <m/>
    <d v="2020-01-22T00:00:00"/>
  </r>
  <r>
    <s v="Alka Goel"/>
    <n v="3.1242014203059999E+18"/>
    <s v="Active"/>
    <d v="2018-04-01T00:00:00"/>
    <d v="2019-03-31T00:00:00"/>
    <s v="Liability"/>
    <n v="3"/>
    <s v="Animesh Rawat"/>
    <s v="Ahmedabad"/>
    <s v="Global Client Network (GNB Inward)"/>
    <x v="0"/>
    <n v="22755.25"/>
    <d v="2018-04-01T00:00:00"/>
    <s v="Brokerage"/>
    <s v="Inception"/>
    <m/>
    <d v="2020-01-22T00:00:00"/>
  </r>
  <r>
    <s v="Harish Sharma"/>
    <s v="P0119200001/9999/100017"/>
    <s v="Active"/>
    <d v="2018-04-01T00:00:00"/>
    <d v="2019-03-31T00:00:00"/>
    <s v="Liability"/>
    <n v="12"/>
    <s v="Shivani Sharma"/>
    <s v="Ahmedabad"/>
    <s v="Global Client Network (GNB Inward)"/>
    <x v="0"/>
    <n v="26443.63"/>
    <d v="2018-04-01T00:00:00"/>
    <s v="Brokerage"/>
    <s v="Inception"/>
    <m/>
    <d v="2020-01-22T00:00:00"/>
  </r>
  <r>
    <s v="Gaurav Goel"/>
    <s v="0865078325 00"/>
    <s v="Inactive"/>
    <d v="2018-04-06T00:00:00"/>
    <d v="2019-04-05T00:00:00"/>
    <s v="Marine"/>
    <n v="1"/>
    <s v="Vinay"/>
    <s v="Ahmedabad"/>
    <s v="Marine"/>
    <x v="0"/>
    <n v="49499.839999999997"/>
    <d v="2018-04-06T00:00:00"/>
    <s v="Brokerage"/>
    <s v="Endorsement"/>
    <m/>
    <d v="2020-01-22T00:00:00"/>
  </r>
  <r>
    <s v="Ravi Naik"/>
    <s v="0865078325 00"/>
    <s v="Inactive"/>
    <d v="2018-04-06T00:00:00"/>
    <d v="2019-04-05T00:00:00"/>
    <s v="Marine"/>
    <n v="1"/>
    <s v="Vinay"/>
    <s v="Ahmedabad"/>
    <s v="Marine"/>
    <x v="0"/>
    <m/>
    <d v="2018-10-11T00:00:00"/>
    <s v="Brokerage "/>
    <s v="Endorsement"/>
    <m/>
    <d v="2020-01-22T00:00:00"/>
  </r>
  <r>
    <s v="Kamlesh Prasad"/>
    <s v="0865078325 00"/>
    <s v="Inactive"/>
    <d v="2018-04-06T00:00:00"/>
    <d v="2019-04-05T00:00:00"/>
    <s v="Marine"/>
    <n v="1"/>
    <s v="Vinay"/>
    <s v="Ahmedabad"/>
    <s v="Marine"/>
    <x v="0"/>
    <n v="16500"/>
    <d v="2019-01-17T00:00:00"/>
    <s v="Brokerage "/>
    <s v="Endorsement"/>
    <m/>
    <d v="2020-01-22T00:00:00"/>
  </r>
  <r>
    <s v="Nikhil Verma"/>
    <s v="'0865078325 01"/>
    <s v="Active"/>
    <d v="2019-04-06T00:00:00"/>
    <d v="2020-04-05T00:00:00"/>
    <s v="Marine"/>
    <n v="1"/>
    <s v="Vinay"/>
    <s v="Ahmedabad"/>
    <s v="Marine"/>
    <x v="0"/>
    <n v="26400"/>
    <d v="2019-04-06T00:00:00"/>
    <s v="Brokerage"/>
    <s v="Renewal"/>
    <m/>
    <d v="2020-01-22T00:00:00"/>
  </r>
  <r>
    <s v="Vaishali Desai"/>
    <s v="0865080591 00"/>
    <s v="Active"/>
    <d v="2018-08-20T00:00:00"/>
    <d v="2019-08-19T00:00:00"/>
    <s v="Marine"/>
    <n v="1"/>
    <s v="Vinay"/>
    <s v="Ahmedabad"/>
    <s v="Marine"/>
    <x v="0"/>
    <n v="3300"/>
    <d v="2018-08-20T00:00:00"/>
    <s v="Brokerage"/>
    <s v="Inception"/>
    <m/>
    <d v="2020-01-22T00:00:00"/>
  </r>
  <r>
    <s v="Atul Naik"/>
    <s v="0865081032 00"/>
    <s v="Active"/>
    <d v="2018-09-11T00:00:00"/>
    <d v="2019-09-10T00:00:00"/>
    <s v="Marine"/>
    <n v="1"/>
    <s v="Vinay"/>
    <s v="Ahmedabad"/>
    <s v="Marine"/>
    <x v="0"/>
    <n v="1072.5"/>
    <d v="2018-09-11T00:00:00"/>
    <s v="Brokerage"/>
    <s v="Inception"/>
    <m/>
    <d v="2020-01-22T00:00:00"/>
  </r>
  <r>
    <s v="Meena Bhargava"/>
    <s v="'310304111710000871"/>
    <s v="Active"/>
    <d v="2018-03-27T00:00:00"/>
    <d v="2019-03-26T00:00:00"/>
    <s v="Fire"/>
    <n v="1"/>
    <s v="Vinay"/>
    <s v="Ahmedabad"/>
    <s v="Property / BI"/>
    <x v="0"/>
    <n v="4002.46"/>
    <d v="2018-03-27T00:00:00"/>
    <s v="Brokerage"/>
    <s v="Inception"/>
    <m/>
    <d v="2020-01-22T00:00:00"/>
  </r>
  <r>
    <s v="Mona Chopra"/>
    <n v="3.1030411181E+17"/>
    <s v="Active"/>
    <d v="2018-08-14T00:00:00"/>
    <d v="2019-08-13T00:00:00"/>
    <s v="Fire"/>
    <n v="1"/>
    <s v="Vinay"/>
    <s v="Ahmedabad"/>
    <s v="Property / BI"/>
    <x v="0"/>
    <n v="1374.25"/>
    <d v="2018-08-14T00:00:00"/>
    <s v="Brokerage"/>
    <s v="Inception"/>
    <m/>
    <d v="2020-01-22T00:00:00"/>
  </r>
  <r>
    <s v="Mohit Tiwari"/>
    <n v="3.1030459171000003E+18"/>
    <s v="Active"/>
    <d v="2018-03-27T00:00:00"/>
    <d v="2019-03-26T00:00:00"/>
    <s v="Fire"/>
    <n v="1"/>
    <s v="Vinay"/>
    <s v="Ahmedabad"/>
    <s v="Property / BI"/>
    <x v="2"/>
    <n v="566.25"/>
    <d v="2018-03-27T00:00:00"/>
    <s v="Brokerage"/>
    <s v="Inception"/>
    <m/>
    <d v="2020-01-22T00:00:00"/>
  </r>
  <r>
    <s v="Tina Dutta"/>
    <s v="'310304591810000063"/>
    <s v="Active"/>
    <d v="2018-08-14T00:00:00"/>
    <d v="2019-08-13T00:00:00"/>
    <s v="Miscellaneous"/>
    <n v="1"/>
    <s v="Vinay"/>
    <s v="Ahmedabad"/>
    <s v="Property / BI"/>
    <x v="0"/>
    <n v="445"/>
    <d v="2018-08-14T00:00:00"/>
    <s v="Brokerage"/>
    <s v="Inception"/>
    <m/>
    <d v="2020-01-22T00:00:00"/>
  </r>
  <r>
    <s v="Hemant Das"/>
    <s v="'310300111910000401"/>
    <s v="Active"/>
    <d v="2019-09-01T00:00:00"/>
    <d v="2020-08-31T00:00:00"/>
    <s v="Fire"/>
    <n v="1"/>
    <s v="Vinay"/>
    <s v="Ahmedabad"/>
    <s v="Property / BI"/>
    <x v="0"/>
    <n v="13114.95"/>
    <d v="2019-09-01T00:00:00"/>
    <s v="Brokerage"/>
    <s v="Renewal"/>
    <m/>
    <d v="2020-01-22T00:00:00"/>
  </r>
  <r>
    <s v="Sanjana Bhargava"/>
    <n v="3.1030411181E+17"/>
    <s v="Inactive"/>
    <d v="2018-09-01T00:00:00"/>
    <d v="2019-08-31T00:00:00"/>
    <s v="Fire"/>
    <n v="1"/>
    <s v="Vinay"/>
    <s v="Ahmedabad"/>
    <s v="Property / BI"/>
    <x v="0"/>
    <n v="2049.42"/>
    <d v="2018-09-01T00:00:00"/>
    <s v="Brokerage"/>
    <s v="Inception"/>
    <m/>
    <d v="2020-01-22T00:00:00"/>
  </r>
  <r>
    <s v="Kamlesh Trivedi"/>
    <n v="301002850"/>
    <s v="Active"/>
    <d v="2018-08-01T00:00:00"/>
    <d v="2019-07-31T00:00:00"/>
    <s v="Liability"/>
    <n v="6"/>
    <s v="Ketan Jain"/>
    <s v="Ahmedabad"/>
    <s v="Liability"/>
    <x v="0"/>
    <n v="61425"/>
    <d v="2018-08-01T00:00:00"/>
    <s v="Brokerage"/>
    <s v="Inception"/>
    <m/>
    <d v="2020-01-22T00:00:00"/>
  </r>
  <r>
    <s v="Nikita Tiwari"/>
    <n v="2.4122019374572001E+18"/>
    <s v="Active"/>
    <d v="2018-09-27T00:00:00"/>
    <d v="2019-09-26T00:00:00"/>
    <s v="Marine"/>
    <n v="1"/>
    <s v="Vinay"/>
    <s v="Ahmedabad"/>
    <s v="Marine"/>
    <x v="0"/>
    <n v="1650"/>
    <d v="2018-09-27T00:00:00"/>
    <s v="Brokerage"/>
    <s v="Inception"/>
    <m/>
    <d v="2020-01-22T00:00:00"/>
  </r>
  <r>
    <s v="Kapil Kapoor"/>
    <s v="0830018899Â 01"/>
    <s v="Inactive"/>
    <d v="2018-03-01T00:00:00"/>
    <d v="2019-02-28T00:00:00"/>
    <s v="Marine"/>
    <n v="3"/>
    <s v="Animesh Rawat"/>
    <s v="Ahmedabad"/>
    <s v="Global Client Network (GNB Inward)"/>
    <x v="0"/>
    <n v="16335"/>
    <d v="2018-03-01T00:00:00"/>
    <s v="Brokerage"/>
    <s v="Inception"/>
    <m/>
    <d v="2020-01-22T00:00:00"/>
  </r>
  <r>
    <s v="Harish Rana"/>
    <s v="OG-19-2202-1018-00000059"/>
    <s v="Active"/>
    <d v="2019-03-01T00:00:00"/>
    <d v="2020-02-29T00:00:00"/>
    <s v="Marine"/>
    <n v="3"/>
    <s v="Animesh Rawat"/>
    <s v="Ahmedabad"/>
    <s v="Global Client Network (GNB Inward)"/>
    <x v="0"/>
    <n v="18562.5"/>
    <d v="2019-03-01T00:00:00"/>
    <s v="Brokerage"/>
    <s v="Renewal"/>
    <m/>
    <d v="2020-01-22T00:00:00"/>
  </r>
  <r>
    <s v="Nikhil Pandit"/>
    <s v="OG-19-2001-3315-00000015"/>
    <s v="Active"/>
    <d v="2018-04-02T00:00:00"/>
    <d v="2019-04-01T00:00:00"/>
    <s v="Liability"/>
    <n v="12"/>
    <s v="Shivani Sharma"/>
    <s v="Ahmedabad"/>
    <s v="Global Client Network (GNB Inward)"/>
    <x v="0"/>
    <n v="0"/>
    <d v="2018-08-02T00:00:00"/>
    <s v="Brokerage"/>
    <s v="Inception"/>
    <m/>
    <d v="2020-01-22T00:00:00"/>
  </r>
  <r>
    <s v="Vivek Rana"/>
    <s v="4005/134645920/01/000"/>
    <s v="Inactive"/>
    <d v="2018-06-29T00:00:00"/>
    <d v="2019-06-28T00:00:00"/>
    <s v="Employee Benefits"/>
    <n v="10"/>
    <s v="Mark"/>
    <s v="Ahmedabad"/>
    <s v="Employee Benefits (EB)"/>
    <x v="0"/>
    <n v="4330.05"/>
    <d v="2018-06-29T00:00:00"/>
    <s v="Brokerage"/>
    <s v="Endorsement"/>
    <m/>
    <d v="2020-01-22T00:00:00"/>
  </r>
  <r>
    <s v="Hemant Nair"/>
    <s v="4005/134645920/01/000"/>
    <s v="Inactive"/>
    <d v="2018-06-29T00:00:00"/>
    <d v="2019-06-28T00:00:00"/>
    <s v="Employee Benefits"/>
    <n v="10"/>
    <s v="Mark"/>
    <s v="Ahmedabad"/>
    <s v="Employee Benefits (EB)"/>
    <x v="0"/>
    <m/>
    <d v="2018-07-05T00:00:00"/>
    <s v="Brokerage "/>
    <s v="Endorsement"/>
    <m/>
    <d v="2020-01-22T00:00:00"/>
  </r>
  <r>
    <s v="Veena Bhargava"/>
    <s v="4005/134645920/02/000"/>
    <s v="Active"/>
    <d v="2019-06-29T00:00:00"/>
    <d v="2020-06-28T00:00:00"/>
    <s v="Employee Benefits"/>
    <n v="10"/>
    <s v="Mark"/>
    <s v="Ahmedabad"/>
    <s v="Employee Benefits (EB)"/>
    <x v="0"/>
    <n v="8604.68"/>
    <d v="2019-06-29T00:00:00"/>
    <s v="Brokerage"/>
    <s v="Renewal"/>
    <m/>
    <d v="2020-01-22T00:00:00"/>
  </r>
  <r>
    <s v="Shivam Shah"/>
    <s v="4016/133979727/01/000"/>
    <s v="Inactive"/>
    <d v="2018-06-29T00:00:00"/>
    <d v="2019-06-28T00:00:00"/>
    <s v="Employee Benefits"/>
    <n v="10"/>
    <s v="Mark"/>
    <s v="Ahmedabad"/>
    <s v="Employee Benefits (EB)"/>
    <x v="0"/>
    <n v="41313.599999999999"/>
    <d v="2018-06-29T00:00:00"/>
    <s v="Brokerage"/>
    <s v="Endorsement"/>
    <m/>
    <d v="2020-01-22T00:00:00"/>
  </r>
  <r>
    <s v="Bhavna Bhandari"/>
    <s v="4016/133979727/01/000"/>
    <s v="Inactive"/>
    <d v="2018-06-29T00:00:00"/>
    <d v="2019-06-28T00:00:00"/>
    <s v="Employee Benefits"/>
    <n v="10"/>
    <s v="Mark"/>
    <s v="Ahmedabad"/>
    <s v="Employee Benefits (EB)"/>
    <x v="0"/>
    <m/>
    <d v="2018-07-31T00:00:00"/>
    <s v="Brokerage "/>
    <s v="Endorsement"/>
    <m/>
    <d v="2020-01-22T00:00:00"/>
  </r>
  <r>
    <s v="Tarun Shah"/>
    <s v="4016/133979727/02/000"/>
    <s v="Active"/>
    <d v="2019-06-29T00:00:00"/>
    <d v="2020-06-28T00:00:00"/>
    <s v="Employee Benefits"/>
    <n v="10"/>
    <s v="Mark"/>
    <s v="Ahmedabad"/>
    <s v="Employee Benefits (EB)"/>
    <x v="0"/>
    <n v="74672.78"/>
    <d v="2019-06-29T00:00:00"/>
    <s v="Brokerage"/>
    <s v="Renewal"/>
    <m/>
    <d v="2020-01-22T00:00:00"/>
  </r>
  <r>
    <s v="Hemant Chauhan"/>
    <s v="0865078861 00"/>
    <s v="Active"/>
    <d v="2018-01-03T00:00:00"/>
    <d v="2019-01-02T00:00:00"/>
    <s v="Marine"/>
    <n v="12"/>
    <s v="Shivani Sharma"/>
    <s v="Ahmedabad"/>
    <s v="Global Client Network (GNB Inward)"/>
    <x v="0"/>
    <n v="66622.350000000006"/>
    <d v="2018-01-03T00:00:00"/>
    <s v="Brokerage"/>
    <s v="Inception"/>
    <m/>
    <d v="2020-01-22T00:00:00"/>
  </r>
  <r>
    <s v="Geeta Verma"/>
    <s v="4066/130374729/01/000"/>
    <s v="Active"/>
    <d v="2018-04-01T00:00:00"/>
    <d v="2019-03-31T00:00:00"/>
    <s v="Liability"/>
    <n v="12"/>
    <s v="Shivani Sharma"/>
    <s v="Ahmedabad"/>
    <s v="Global Client Network (GNB Inward)"/>
    <x v="0"/>
    <n v="0"/>
    <d v="2018-04-01T00:00:00"/>
    <s v="Brokerage"/>
    <s v="Inception"/>
    <m/>
    <d v="2020-01-22T00:00:00"/>
  </r>
  <r>
    <s v="Ashok Patel"/>
    <s v="2002/160040691/00/000"/>
    <s v="Inactive"/>
    <d v="2018-11-01T00:00:00"/>
    <d v="2019-10-31T00:00:00"/>
    <s v="Marine"/>
    <n v="1"/>
    <s v="Vinay"/>
    <s v="Ahmedabad"/>
    <s v="Marine"/>
    <x v="0"/>
    <n v="92812.5"/>
    <d v="2018-11-01T00:00:00"/>
    <s v="Brokerage"/>
    <s v="Renewal"/>
    <m/>
    <d v="2020-01-22T00:00:00"/>
  </r>
  <r>
    <s v="Gayatri Reddy"/>
    <s v="2002/160040691/01/000"/>
    <s v="Active"/>
    <d v="2019-11-14T00:00:00"/>
    <d v="2020-11-13T00:00:00"/>
    <s v="Marine"/>
    <n v="1"/>
    <s v="Vinay"/>
    <s v="Ahmedabad"/>
    <s v="Marine"/>
    <x v="0"/>
    <n v="18562.5"/>
    <d v="2019-11-14T00:00:00"/>
    <s v="Brokerage"/>
    <s v="Renewal"/>
    <m/>
    <d v="2020-01-22T00:00:00"/>
  </r>
  <r>
    <s v="Snehal Patel"/>
    <s v="2002/E/107876781/03/000"/>
    <s v="Active"/>
    <d v="2018-10-08T00:00:00"/>
    <d v="2019-10-07T00:00:00"/>
    <s v="Marine"/>
    <n v="1"/>
    <s v="Vinay"/>
    <s v="Ahmedabad"/>
    <s v="Marine"/>
    <x v="0"/>
    <n v="3526.88"/>
    <d v="2019-10-08T00:00:00"/>
    <s v="Brokerage"/>
    <s v="Renewal"/>
    <m/>
    <d v="2020-01-22T00:00:00"/>
  </r>
  <r>
    <s v="Vivek Yadav"/>
    <s v="2002/E/1078781/02/000"/>
    <s v="Active"/>
    <d v="2017-10-08T00:00:00"/>
    <d v="2018-10-07T00:00:00"/>
    <s v="Marine"/>
    <n v="5"/>
    <s v="Juli"/>
    <s v="Ahmedabad"/>
    <s v="Marine"/>
    <x v="0"/>
    <n v="34950.980000000003"/>
    <d v="2017-10-08T00:00:00"/>
    <s v="Brokerage"/>
    <s v="Inception"/>
    <m/>
    <d v="2020-01-22T00:00:00"/>
  </r>
  <r>
    <s v="Kiran Saxena"/>
    <n v="22214272"/>
    <s v="Active"/>
    <d v="2017-11-01T00:00:00"/>
    <d v="2018-10-31T00:00:00"/>
    <s v="Marine"/>
    <n v="5"/>
    <s v="Juli"/>
    <s v="Ahmedabad"/>
    <s v="Marine"/>
    <x v="0"/>
    <n v="55687.5"/>
    <d v="2017-11-01T00:00:00"/>
    <s v="Brokerage"/>
    <s v="Inception"/>
    <m/>
    <d v="2020-01-22T00:00:00"/>
  </r>
  <r>
    <s v="Uday Reddy"/>
    <s v="'14220011190100000062"/>
    <s v="Active"/>
    <d v="2019-04-12T00:00:00"/>
    <d v="2020-04-11T00:00:00"/>
    <s v="Fire"/>
    <n v="11"/>
    <s v="Raju Kumar"/>
    <s v="Ahmedabad"/>
    <s v="Property / BI"/>
    <x v="0"/>
    <n v="5187.3100000000004"/>
    <d v="2019-04-12T00:00:00"/>
    <s v="Brokerage"/>
    <s v="Inception"/>
    <m/>
    <d v="2020-01-22T00:00:00"/>
  </r>
  <r>
    <s v="Anita Pandit"/>
    <s v="2690000138 04"/>
    <s v="Active"/>
    <d v="2018-08-25T00:00:00"/>
    <d v="2019-08-24T00:00:00"/>
    <s v="Fire"/>
    <n v="1"/>
    <s v="Vinay"/>
    <s v="Ahmedabad"/>
    <s v="Property / BI"/>
    <x v="2"/>
    <n v="2116.48"/>
    <d v="2018-08-25T00:00:00"/>
    <s v="Brokerage"/>
    <s v="Inception"/>
    <m/>
    <d v="2020-01-22T00:00:00"/>
  </r>
  <r>
    <s v="Hina Malhotra"/>
    <s v="2690000337 03"/>
    <s v="Active"/>
    <d v="2018-11-30T00:00:00"/>
    <d v="2019-11-29T00:00:00"/>
    <s v="Fire"/>
    <n v="1"/>
    <s v="Vinay"/>
    <s v="Ahmedabad"/>
    <s v="Property / BI"/>
    <x v="0"/>
    <n v="810.28"/>
    <d v="2018-11-30T00:00:00"/>
    <s v="Brokerage"/>
    <s v="Inception"/>
    <m/>
    <d v="2020-01-22T00:00:00"/>
  </r>
  <r>
    <s v="Alka Patel"/>
    <n v="30003393"/>
    <s v="Active"/>
    <d v="2019-05-01T00:00:00"/>
    <d v="2020-04-30T00:00:00"/>
    <s v="Miscellaneous"/>
    <n v="6"/>
    <s v="Ketan Jain"/>
    <s v="Ahmedabad"/>
    <s v="Trade Credit &amp;amp; Political Risk"/>
    <x v="1"/>
    <n v="379836.08"/>
    <d v="2019-05-01T00:00:00"/>
    <s v="Brokerage"/>
    <s v="Inception"/>
    <m/>
    <d v="2020-01-22T00:00:00"/>
  </r>
  <r>
    <s v="Shruti Roy"/>
    <s v="OG-18-2202-3315-00000028"/>
    <s v="Active"/>
    <d v="2019-03-31T00:00:00"/>
    <d v="2020-03-30T00:00:00"/>
    <s v="Liability"/>
    <n v="6"/>
    <s v="Ketan Jain"/>
    <s v="Ahmedabad"/>
    <s v="Liability"/>
    <x v="2"/>
    <n v="28087.5"/>
    <d v="2019-03-31T00:00:00"/>
    <s v="Brokerage"/>
    <s v="Inception"/>
    <m/>
    <d v="2020-01-22T00:00:00"/>
  </r>
  <r>
    <s v="Archana Singh"/>
    <s v="'23060036180200000022"/>
    <s v="Active"/>
    <d v="2019-01-01T00:00:00"/>
    <d v="2019-12-31T00:00:00"/>
    <s v="Liability"/>
    <n v="1"/>
    <s v="Vinay"/>
    <s v="Ahmedabad"/>
    <s v="Liability"/>
    <x v="0"/>
    <n v="137500"/>
    <d v="2019-01-01T00:00:00"/>
    <s v="Brokerage"/>
    <s v="Inception"/>
    <m/>
    <d v="2020-01-22T00:00:00"/>
  </r>
  <r>
    <s v="Mukul Goyal"/>
    <s v="'2999202466609300000"/>
    <s v="Active"/>
    <d v="2018-10-04T00:00:00"/>
    <d v="2019-10-03T00:00:00"/>
    <s v="Liability"/>
    <n v="1"/>
    <s v="Vinay"/>
    <s v="Ahmedabad"/>
    <s v="Liability"/>
    <x v="2"/>
    <n v="18750"/>
    <d v="2018-10-04T00:00:00"/>
    <s v="Brokerage"/>
    <s v="Inception"/>
    <m/>
    <d v="2020-01-22T00:00:00"/>
  </r>
  <r>
    <s v="Namita Bajaj"/>
    <s v="'2999203175548500000"/>
    <s v="Active"/>
    <d v="2019-12-02T00:00:00"/>
    <d v="2020-12-01T00:00:00"/>
    <s v="Liability"/>
    <n v="1"/>
    <s v="Vinay"/>
    <s v="Ahmedabad"/>
    <s v="Liability"/>
    <x v="0"/>
    <n v="8125"/>
    <d v="2019-12-02T00:00:00"/>
    <s v="Brokerage"/>
    <s v="Inception"/>
    <m/>
    <d v="2020-01-22T00:00:00"/>
  </r>
  <r>
    <s v="Nikita Joshi"/>
    <s v="141400/11/2018/737"/>
    <s v="Active"/>
    <d v="2018-03-01T00:00:00"/>
    <d v="2019-02-28T00:00:00"/>
    <s v="Fire"/>
    <n v="5"/>
    <s v="Juli"/>
    <s v="Ahmedabad"/>
    <s v="Small Medium Enterpries (SME)"/>
    <x v="1"/>
    <n v="116487.03999999999"/>
    <d v="2018-03-01T00:00:00"/>
    <s v="Brokerage"/>
    <s v="Inception"/>
    <m/>
    <d v="2020-01-22T00:00:00"/>
  </r>
  <r>
    <s v="Tejas Shah"/>
    <s v="141400/11/2018/738"/>
    <s v="Active"/>
    <d v="2018-03-01T00:00:00"/>
    <d v="2019-02-28T00:00:00"/>
    <s v="Fire"/>
    <n v="5"/>
    <s v="Juli"/>
    <s v="Ahmedabad"/>
    <s v="Small Medium Enterpries (SME)"/>
    <x v="1"/>
    <n v="2988.62"/>
    <d v="2018-03-01T00:00:00"/>
    <s v="Brokerage"/>
    <s v="Inception"/>
    <m/>
    <d v="2020-01-22T00:00:00"/>
  </r>
  <r>
    <s v="Kavita Rao"/>
    <s v="141400/44/2018/101"/>
    <s v="Active"/>
    <d v="2018-03-01T00:00:00"/>
    <d v="2019-02-28T00:00:00"/>
    <s v="Miscellaneous"/>
    <n v="5"/>
    <s v="Juli"/>
    <s v="Ahmedabad"/>
    <s v="Small Medium Enterpries (SME)"/>
    <x v="1"/>
    <n v="14627.5"/>
    <d v="2018-03-01T00:00:00"/>
    <s v="Brokerage"/>
    <s v="Inception"/>
    <m/>
    <d v="2020-01-22T00:00:00"/>
  </r>
  <r>
    <s v="Hemant Shah"/>
    <s v="141400/44/2018/102"/>
    <s v="Active"/>
    <d v="2018-03-01T00:00:00"/>
    <d v="2019-02-28T00:00:00"/>
    <s v="Miscellaneous"/>
    <n v="5"/>
    <s v="Juli"/>
    <s v="Ahmedabad"/>
    <s v="Small Medium Enterpries (SME)"/>
    <x v="1"/>
    <n v="2020.5"/>
    <d v="2018-03-01T00:00:00"/>
    <s v="Brokerage"/>
    <s v="Inception"/>
    <m/>
    <d v="2020-01-22T00:00:00"/>
  </r>
  <r>
    <s v="Prabhat Naik"/>
    <s v="141400/48/2018/2149"/>
    <s v="Active"/>
    <d v="2018-03-01T00:00:00"/>
    <d v="2019-02-28T00:00:00"/>
    <s v="Miscellaneous"/>
    <n v="5"/>
    <s v="Juli"/>
    <s v="Ahmedabad"/>
    <s v="Small Medium Enterpries (SME)"/>
    <x v="1"/>
    <n v="625.13"/>
    <d v="2018-03-01T00:00:00"/>
    <s v="Brokerage"/>
    <s v="Inception"/>
    <m/>
    <d v="2020-01-22T00:00:00"/>
  </r>
  <r>
    <s v="Nikhil Tiwari"/>
    <s v="141400/48/2018/2150"/>
    <s v="Active"/>
    <d v="2018-03-01T00:00:00"/>
    <d v="2019-02-28T00:00:00"/>
    <s v="Miscellaneous"/>
    <n v="5"/>
    <s v="Juli"/>
    <s v="Ahmedabad"/>
    <s v="Small Medium Enterpries (SME)"/>
    <x v="2"/>
    <n v="417"/>
    <d v="2018-03-01T00:00:00"/>
    <s v="Brokerage"/>
    <s v="Inception"/>
    <m/>
    <d v="2020-01-22T00:00:00"/>
  </r>
  <r>
    <s v="Neha Trivedi"/>
    <s v="141400/48/2018/2237"/>
    <s v="Active"/>
    <d v="2018-03-01T00:00:00"/>
    <d v="2019-02-28T00:00:00"/>
    <s v="Miscellaneous"/>
    <n v="5"/>
    <s v="Juli"/>
    <s v="Ahmedabad"/>
    <s v="Small Medium Enterpries (SME)"/>
    <x v="1"/>
    <n v="687.63"/>
    <d v="2018-03-01T00:00:00"/>
    <s v="Brokerage"/>
    <s v="Inception"/>
    <m/>
    <d v="2020-01-22T00:00:00"/>
  </r>
  <r>
    <s v="Shruti Agarwal"/>
    <s v="141400/48/2018/2238"/>
    <s v="Active"/>
    <d v="2018-03-01T00:00:00"/>
    <d v="2019-02-28T00:00:00"/>
    <s v="Liability"/>
    <n v="5"/>
    <s v="Juli"/>
    <s v="Ahmedabad"/>
    <s v="Small Medium Enterpries (SME)"/>
    <x v="1"/>
    <n v="374.88"/>
    <d v="2018-03-01T00:00:00"/>
    <s v="Brokerage"/>
    <s v="Inception"/>
    <m/>
    <d v="2020-01-22T00:00:00"/>
  </r>
  <r>
    <s v="Kiran Desai"/>
    <s v="141400/48/2018/2239"/>
    <s v="Active"/>
    <d v="2018-03-01T00:00:00"/>
    <d v="2019-02-28T00:00:00"/>
    <s v="Miscellaneous"/>
    <n v="5"/>
    <s v="Juli"/>
    <s v="Ahmedabad"/>
    <s v="Small Medium Enterpries (SME)"/>
    <x v="1"/>
    <n v="3537.25"/>
    <d v="2018-03-01T00:00:00"/>
    <s v="Brokerage"/>
    <s v="Inception"/>
    <m/>
    <d v="2020-01-22T00:00:00"/>
  </r>
  <r>
    <s v="Kanchan Iyer"/>
    <s v="LWC/I2548354/71/02/005537"/>
    <s v="Active"/>
    <d v="2018-03-01T00:00:00"/>
    <d v="2019-02-28T00:00:00"/>
    <s v="Miscellaneous"/>
    <n v="5"/>
    <s v="Juli"/>
    <s v="Ahmedabad"/>
    <s v="Small Medium Enterpries (SME)"/>
    <x v="1"/>
    <n v="8881.5"/>
    <d v="2018-03-01T00:00:00"/>
    <s v="Brokerage"/>
    <s v="Inception"/>
    <m/>
    <d v="2020-01-22T00:00:00"/>
  </r>
  <r>
    <s v="Bhavna Kapoor"/>
    <s v="'91000036191500000014"/>
    <s v="Active"/>
    <d v="2019-05-23T00:00:00"/>
    <d v="2020-05-22T00:00:00"/>
    <s v="Liability"/>
    <n v="1"/>
    <s v="Vinay"/>
    <s v="Ahmedabad"/>
    <s v="Liability"/>
    <x v="0"/>
    <n v="28125"/>
    <d v="2019-05-23T00:00:00"/>
    <s v="Brokerage"/>
    <s v="Inception"/>
    <m/>
    <d v="2020-01-22T00:00:00"/>
  </r>
  <r>
    <s v="Ritika Reddy"/>
    <s v="'91000036191700000002"/>
    <s v="Active"/>
    <d v="2019-05-23T00:00:00"/>
    <d v="2020-05-22T00:00:00"/>
    <s v="Liability"/>
    <n v="1"/>
    <s v="Vinay"/>
    <s v="Ahmedabad"/>
    <s v="Liability"/>
    <x v="0"/>
    <n v="131250"/>
    <d v="2019-05-23T00:00:00"/>
    <s v="Brokerage"/>
    <s v="Inception"/>
    <m/>
    <d v="2020-01-22T00:00:00"/>
  </r>
  <r>
    <s v="Suresh Das"/>
    <n v="302102591"/>
    <s v="Inactive"/>
    <d v="2018-09-05T00:00:00"/>
    <d v="2019-09-04T00:00:00"/>
    <s v="Miscellaneous"/>
    <n v="3"/>
    <s v="Animesh Rawat"/>
    <s v="Ahmedabad"/>
    <s v="Global Client Network (GNB Inward)"/>
    <x v="0"/>
    <n v="6058.38"/>
    <d v="2018-09-05T00:00:00"/>
    <s v="Brokerage"/>
    <s v="Inception"/>
    <m/>
    <d v="2020-01-22T00:00:00"/>
  </r>
  <r>
    <s v="Shikha Chauhan"/>
    <n v="668111383"/>
    <s v="Active"/>
    <d v="2017-10-17T00:00:00"/>
    <d v="2018-10-16T00:00:00"/>
    <s v="Fire"/>
    <n v="3"/>
    <s v="Animesh Rawat"/>
    <s v="Ahmedabad"/>
    <s v="Global Client Network (GNB Inward)"/>
    <x v="0"/>
    <n v="29608.99"/>
    <d v="2017-10-17T00:00:00"/>
    <s v="Brokerage"/>
    <s v="Inception"/>
    <m/>
    <d v="2020-01-22T00:00:00"/>
  </r>
  <r>
    <s v="Hemant Dutta"/>
    <n v="668111383"/>
    <s v="Active"/>
    <d v="2017-10-17T00:00:00"/>
    <d v="2018-10-16T00:00:00"/>
    <s v="Fire"/>
    <n v="3"/>
    <s v="Animesh Rawat"/>
    <s v="Ahmedabad"/>
    <s v="Global Client Network (GNB Inward)"/>
    <x v="0"/>
    <n v="29638.400000000001"/>
    <d v="2017-10-17T00:00:00"/>
    <s v="Brokerage"/>
    <s v="Inception"/>
    <m/>
    <d v="2020-01-22T00:00:00"/>
  </r>
  <r>
    <s v="Dinesh Pandey"/>
    <n v="668111383"/>
    <s v="Active"/>
    <d v="2017-10-17T00:00:00"/>
    <d v="2018-10-16T00:00:00"/>
    <s v="Fire"/>
    <n v="3"/>
    <s v="Animesh Rawat"/>
    <s v="Ahmedabad"/>
    <s v="Global Client Network (GNB Inward)"/>
    <x v="0"/>
    <n v="237107.16"/>
    <d v="2017-10-17T00:00:00"/>
    <s v="Brokerage"/>
    <s v="Inception"/>
    <m/>
    <d v="2020-01-22T00:00:00"/>
  </r>
  <r>
    <s v="Archana Iyer"/>
    <s v="0668111383 05"/>
    <s v="Active"/>
    <d v="2018-10-17T00:00:00"/>
    <d v="2019-10-16T00:00:00"/>
    <s v="Miscellaneous"/>
    <n v="3"/>
    <s v="Animesh Rawat"/>
    <s v="Ahmedabad"/>
    <s v="Global Client Network (GNB Inward)"/>
    <x v="0"/>
    <n v="295501.76"/>
    <d v="2018-10-17T00:00:00"/>
    <s v="Brokerage"/>
    <s v="Inception"/>
    <m/>
    <d v="2020-01-22T00:00:00"/>
  </r>
  <r>
    <s v="Deepak Menon"/>
    <n v="2250015394"/>
    <s v="Active"/>
    <d v="2019-09-05T00:00:00"/>
    <d v="2020-09-04T00:00:00"/>
    <s v="Miscellaneous"/>
    <n v="3"/>
    <s v="Animesh Rawat"/>
    <s v="Ahmedabad"/>
    <s v="Global Client Network (GNB Inward)"/>
    <x v="0"/>
    <n v="5612.25"/>
    <d v="2019-09-05T00:00:00"/>
    <s v="Brokerage"/>
    <s v="Renewal"/>
    <m/>
    <d v="2020-01-22T00:00:00"/>
  </r>
  <r>
    <s v="Vivek Gupta"/>
    <n v="2309002394"/>
    <s v="Active"/>
    <d v="2018-01-01T00:00:00"/>
    <d v="2018-12-31T00:00:00"/>
    <s v="Liability"/>
    <n v="3"/>
    <s v="Animesh Rawat"/>
    <s v="Ahmedabad"/>
    <s v="Global Client Network (GNB Inward)"/>
    <x v="0"/>
    <n v="30875"/>
    <d v="2018-01-01T00:00:00"/>
    <s v="Brokerage"/>
    <s v="Inception"/>
    <m/>
    <d v="2020-01-22T00:00:00"/>
  </r>
  <r>
    <s v="Rina Shah"/>
    <n v="3.1142029633600998E+18"/>
    <s v="Active"/>
    <d v="2019-08-26T00:00:00"/>
    <d v="2020-08-25T00:00:00"/>
    <s v="Miscellaneous"/>
    <n v="3"/>
    <s v="Animesh Rawat"/>
    <s v="Ahmedabad"/>
    <s v="Global Client Network (GNB Inward)"/>
    <x v="2"/>
    <n v="7022.25"/>
    <d v="2019-08-26T00:00:00"/>
    <s v="Brokerage"/>
    <s v="Inception"/>
    <m/>
    <d v="2020-01-22T00:00:00"/>
  </r>
  <r>
    <s v="Uday Prasad"/>
    <s v="OG-19-2202-1018-00000053"/>
    <s v="Active"/>
    <d v="2019-01-01T00:00:00"/>
    <d v="2019-12-31T00:00:00"/>
    <s v="Marine"/>
    <n v="3"/>
    <s v="Animesh Rawat"/>
    <s v="Ahmedabad"/>
    <s v="Global Client Network (GNB Inward)"/>
    <x v="2"/>
    <n v="77787.360000000001"/>
    <d v="2019-01-01T00:00:00"/>
    <s v="Brokerage"/>
    <s v="Inception"/>
    <m/>
    <d v="2020-01-22T00:00:00"/>
  </r>
  <r>
    <s v="Nitin Kapoor"/>
    <s v="OG-19-2202-3383-00000008"/>
    <s v="Active"/>
    <d v="2019-01-01T00:00:00"/>
    <d v="2019-12-31T00:00:00"/>
    <s v="Liability"/>
    <n v="3"/>
    <s v="Animesh Rawat"/>
    <s v="Ahmedabad"/>
    <s v="Global Client Network (GNB Inward)"/>
    <x v="2"/>
    <n v="30048.080000000002"/>
    <d v="2019-01-01T00:00:00"/>
    <s v="Brokerage"/>
    <s v="Inception"/>
    <m/>
    <d v="2020-01-22T00:00:00"/>
  </r>
  <r>
    <s v="Harish Kaul"/>
    <s v="PROHLN000242106"/>
    <s v="Active"/>
    <d v="2019-09-16T00:00:00"/>
    <d v="2020-09-15T00:00:00"/>
    <s v="Employee Benefits"/>
    <n v="3"/>
    <s v="Animesh Rawat"/>
    <s v="Ahmedabad"/>
    <s v="Global Client Network (GNB Inward)"/>
    <x v="2"/>
    <n v="7690.95"/>
    <d v="2019-09-16T00:00:00"/>
    <s v="Brokerage"/>
    <s v="Inception"/>
    <m/>
    <d v="2020-01-22T00:00:00"/>
  </r>
  <r>
    <s v="Neeraj Arora"/>
    <n v="1.2030046182479999E+19"/>
    <s v="Inactive"/>
    <d v="2018-08-10T00:00:00"/>
    <d v="2019-08-09T00:00:00"/>
    <s v="Miscellaneous"/>
    <n v="12"/>
    <s v="Shivani Sharma"/>
    <s v="Ahmedabad"/>
    <s v="Global Client Network (GNB Inward)"/>
    <x v="0"/>
    <n v="86400"/>
    <d v="2018-08-10T00:00:00"/>
    <s v="Brokerage"/>
    <s v="Inception"/>
    <m/>
    <d v="2020-01-22T00:00:00"/>
  </r>
  <r>
    <s v="Mukul Kumar"/>
    <n v="1.2030046182479999E+19"/>
    <s v="Inactive"/>
    <d v="2018-08-10T00:00:00"/>
    <d v="2019-08-09T00:00:00"/>
    <s v="Miscellaneous"/>
    <n v="12"/>
    <s v="Shivani Sharma"/>
    <s v="Ahmedabad"/>
    <s v="Global Client Network (GNB Inward)"/>
    <x v="0"/>
    <n v="345705"/>
    <d v="2018-08-10T00:00:00"/>
    <s v="Brokerage"/>
    <s v="Inception"/>
    <m/>
    <d v="2020-01-22T00:00:00"/>
  </r>
  <r>
    <s v="Gauri Naik"/>
    <n v="1.203004619248E+19"/>
    <s v="Active"/>
    <d v="2019-08-10T00:00:00"/>
    <d v="2020-08-09T00:00:00"/>
    <s v="Miscellaneous"/>
    <n v="3"/>
    <s v="Animesh Rawat"/>
    <s v="Ahmedabad"/>
    <s v="Global Client Network (GNB Inward)"/>
    <x v="0"/>
    <n v="77400"/>
    <d v="2019-08-10T00:00:00"/>
    <s v="Brokerage"/>
    <s v="Renewal"/>
    <m/>
    <d v="2020-01-22T00:00:00"/>
  </r>
  <r>
    <s v="Harish Menon"/>
    <n v="1.203004619248E+19"/>
    <s v="Active"/>
    <d v="2019-08-10T00:00:00"/>
    <d v="2020-08-09T00:00:00"/>
    <s v="Miscellaneous"/>
    <n v="3"/>
    <s v="Animesh Rawat"/>
    <s v="Ahmedabad"/>
    <s v="Global Client Network (GNB Inward)"/>
    <x v="0"/>
    <n v="302811.08"/>
    <d v="2019-08-10T00:00:00"/>
    <s v="Brokerage"/>
    <s v="Renewal"/>
    <m/>
    <d v="2020-01-22T00:00:00"/>
  </r>
  <r>
    <s v="Mohit Gupta"/>
    <s v="P0319200002/9999/100065"/>
    <s v="Active"/>
    <d v="2018-07-01T00:00:00"/>
    <d v="2019-06-30T00:00:00"/>
    <s v="Liability"/>
    <n v="12"/>
    <s v="Shivani Sharma"/>
    <s v="Ahmedabad"/>
    <s v="Global Client Network (GNB Inward)"/>
    <x v="0"/>
    <n v="1183.3800000000001"/>
    <d v="2018-07-01T00:00:00"/>
    <s v="Brokerage"/>
    <s v="Inception"/>
    <m/>
    <d v="2020-01-22T00:00:00"/>
  </r>
  <r>
    <s v="Amit Arora"/>
    <s v="2018-F0541357-FRE"/>
    <s v="Active"/>
    <d v="2018-09-16T00:00:00"/>
    <d v="2019-09-15T00:00:00"/>
    <s v="Fire"/>
    <n v="1"/>
    <s v="Vinay"/>
    <s v="Ahmedabad"/>
    <s v="Property / BI"/>
    <x v="0"/>
    <n v="33977.82"/>
    <d v="2018-09-16T00:00:00"/>
    <s v="Brokerage"/>
    <s v="Inception"/>
    <m/>
    <d v="2020-01-22T00:00:00"/>
  </r>
  <r>
    <s v="Nikita Pandit"/>
    <s v="'11120044170300000009"/>
    <s v="Active"/>
    <d v="2017-11-27T00:00:00"/>
    <d v="2020-11-26T00:00:00"/>
    <s v="Engineering"/>
    <n v="11"/>
    <s v="Raju Kumar"/>
    <s v="Ahmedabad"/>
    <s v="Construction, Power &amp; Infrastructure"/>
    <x v="2"/>
    <n v="25303.02"/>
    <d v="2018-05-27T00:00:00"/>
    <s v="Brokerage"/>
    <s v="Inception"/>
    <m/>
    <d v="2020-01-22T00:00:00"/>
  </r>
  <r>
    <s v="Vikas Gupta"/>
    <s v="'11120044170300000009"/>
    <s v="Active"/>
    <d v="2017-11-27T00:00:00"/>
    <d v="2020-11-26T00:00:00"/>
    <s v="Engineering"/>
    <n v="11"/>
    <s v="Raju Kumar"/>
    <s v="Ahmedabad"/>
    <s v="Construction, Power &amp; Infrastructure"/>
    <x v="2"/>
    <n v="25302.959999999999"/>
    <d v="2019-05-27T00:00:00"/>
    <s v="Brokerage"/>
    <s v="Inception"/>
    <m/>
    <d v="2020-01-22T00:00:00"/>
  </r>
  <r>
    <s v="Kamlesh Pillai"/>
    <s v="'11120044170300000009"/>
    <s v="Active"/>
    <d v="2017-11-27T00:00:00"/>
    <d v="2020-11-26T00:00:00"/>
    <s v="Engineering"/>
    <n v="11"/>
    <s v="Raju Kumar"/>
    <s v="Ahmedabad"/>
    <s v="Construction, Power &amp; Infrastructure"/>
    <x v="2"/>
    <n v="25302.959999999999"/>
    <d v="2019-08-27T00:00:00"/>
    <s v="Brokerage"/>
    <s v="Inception"/>
    <m/>
    <d v="2020-01-22T00:00:00"/>
  </r>
  <r>
    <s v="Umesh Agarwal"/>
    <s v="'11120044170300000009"/>
    <s v="Active"/>
    <d v="2017-11-27T00:00:00"/>
    <d v="2020-11-26T00:00:00"/>
    <s v="Engineering"/>
    <n v="11"/>
    <s v="Raju Kumar"/>
    <s v="Ahmedabad"/>
    <s v="Construction, Power &amp; Infrastructure"/>
    <x v="2"/>
    <n v="25302.959999999999"/>
    <d v="2019-11-27T00:00:00"/>
    <s v="Brokerage"/>
    <s v="Inception"/>
    <m/>
    <d v="2020-01-22T00:00:00"/>
  </r>
  <r>
    <s v="Ankur Gandhi"/>
    <s v="'11120044170300000009"/>
    <s v="Active"/>
    <d v="2017-11-27T00:00:00"/>
    <d v="2020-11-26T00:00:00"/>
    <s v="Engineering"/>
    <n v="11"/>
    <s v="Raju Kumar"/>
    <s v="Ahmedabad"/>
    <s v="Construction, Power &amp; Infrastructure"/>
    <x v="2"/>
    <n v="25302.959999999999"/>
    <d v="2020-02-27T00:00:00"/>
    <s v="Brokerage"/>
    <s v="Inception"/>
    <m/>
    <d v="2020-01-22T00:00:00"/>
  </r>
  <r>
    <s v="Dinesh Kaul"/>
    <s v="'11120044170300000009"/>
    <s v="Active"/>
    <d v="2017-11-27T00:00:00"/>
    <d v="2020-11-26T00:00:00"/>
    <s v="Engineering"/>
    <n v="11"/>
    <s v="Raju Kumar"/>
    <s v="Ahmedabad"/>
    <s v="Construction, Power &amp; Infrastructure"/>
    <x v="2"/>
    <n v="25302.959999999999"/>
    <d v="2020-05-27T00:00:00"/>
    <s v="Brokerage"/>
    <s v="Inception"/>
    <m/>
    <d v="2020-01-22T00:00:00"/>
  </r>
  <r>
    <s v="Ankur Naik"/>
    <s v="'11120044170300000009"/>
    <s v="Active"/>
    <d v="2017-11-27T00:00:00"/>
    <d v="2020-11-26T00:00:00"/>
    <s v="Engineering"/>
    <n v="11"/>
    <s v="Raju Kumar"/>
    <s v="Ahmedabad"/>
    <s v="Construction, Power &amp; Infrastructure"/>
    <x v="2"/>
    <n v="25302.959999999999"/>
    <d v="2018-08-27T00:00:00"/>
    <s v="Brokerage"/>
    <s v="Inception"/>
    <m/>
    <d v="2020-01-22T00:00:00"/>
  </r>
  <r>
    <s v="BB"/>
    <s v="'11120044170300000009"/>
    <s v="Active"/>
    <d v="2017-11-27T00:00:00"/>
    <d v="2020-11-26T00:00:00"/>
    <s v="Engineering"/>
    <n v="11"/>
    <s v="Raju Kumar"/>
    <s v="Ahmedabad"/>
    <s v="Construction, Power &amp; Infrastructure"/>
    <x v="2"/>
    <n v="25302.959999999999"/>
    <d v="2018-11-27T00:00:00"/>
    <s v="Brokerage"/>
    <s v="Inception"/>
    <m/>
    <d v="2020-01-22T00:00:00"/>
  </r>
  <r>
    <s v="BB"/>
    <s v="'11120044170300000009"/>
    <s v="Active"/>
    <d v="2017-11-27T00:00:00"/>
    <d v="2020-11-26T00:00:00"/>
    <s v="Engineering"/>
    <n v="11"/>
    <s v="Raju Kumar"/>
    <s v="Ahmedabad"/>
    <s v="Construction, Power &amp; Infrastructure"/>
    <x v="2"/>
    <n v="25302.959999999999"/>
    <d v="2019-02-27T00:00:00"/>
    <s v="Brokerage"/>
    <s v="Inception"/>
    <m/>
    <d v="2020-01-22T00:00:00"/>
  </r>
  <r>
    <s v="BB"/>
    <s v="'11120044170300000009"/>
    <s v="Active"/>
    <d v="2017-11-27T00:00:00"/>
    <d v="2020-11-26T00:00:00"/>
    <s v="Engineering"/>
    <n v="11"/>
    <s v="Raju Kumar"/>
    <s v="Ahmedabad"/>
    <s v="Construction, Power &amp; Infrastructure"/>
    <x v="2"/>
    <n v="25303.02"/>
    <d v="2018-02-27T00:00:00"/>
    <s v="Brokerage"/>
    <s v="Inception"/>
    <m/>
    <d v="2020-01-22T00:00:00"/>
  </r>
  <r>
    <s v="BB"/>
    <s v="'11120044170300000009"/>
    <s v="Active"/>
    <d v="2017-11-27T00:00:00"/>
    <d v="2020-11-26T00:00:00"/>
    <s v="Engineering"/>
    <n v="11"/>
    <s v="Raju Kumar"/>
    <s v="Ahmedabad"/>
    <s v="Construction, Power &amp; Infrastructure"/>
    <x v="2"/>
    <n v="39952.080000000002"/>
    <d v="2017-11-27T00:00:00"/>
    <s v="Brokerage"/>
    <s v="Inception"/>
    <m/>
    <d v="2020-01-22T00:00:00"/>
  </r>
  <r>
    <s v="BB"/>
    <n v="8540162"/>
    <s v="Inactive"/>
    <d v="2018-02-27T00:00:00"/>
    <d v="2019-02-26T00:00:00"/>
    <s v="Fire"/>
    <n v="1"/>
    <s v="Vinay"/>
    <s v="Ahmedabad"/>
    <s v="Property / BI"/>
    <x v="0"/>
    <n v="562.24"/>
    <d v="2018-02-27T00:00:00"/>
    <s v="Brokerage"/>
    <s v="Inception"/>
    <m/>
    <d v="2020-01-22T00:00:00"/>
  </r>
  <r>
    <s v="BB"/>
    <s v="'0000000008540162-01"/>
    <s v="Active"/>
    <d v="2019-02-27T00:00:00"/>
    <d v="2020-02-26T00:00:00"/>
    <s v="Fire"/>
    <n v="1"/>
    <s v="Vinay"/>
    <s v="Ahmedabad"/>
    <s v="Property / BI"/>
    <x v="0"/>
    <n v="628.70000000000005"/>
    <d v="2019-03-02T00:00:00"/>
    <s v="Brokerage"/>
    <s v="Renewal"/>
    <m/>
    <d v="2020-01-22T00:00:00"/>
  </r>
  <r>
    <s v="BB"/>
    <n v="304001926"/>
    <s v="Inactive"/>
    <d v="2018-04-01T00:00:00"/>
    <d v="2019-03-31T00:00:00"/>
    <s v="Liability"/>
    <n v="12"/>
    <s v="Shivani Sharma"/>
    <s v="Ahmedabad"/>
    <s v="Global Client Network (GNB Inward)"/>
    <x v="0"/>
    <n v="5075.5"/>
    <d v="2018-04-01T00:00:00"/>
    <s v="Brokerage"/>
    <s v="Inception"/>
    <m/>
    <d v="2020-01-22T00:00:00"/>
  </r>
  <r>
    <s v="BB"/>
    <n v="304003761"/>
    <s v="Active"/>
    <d v="2019-04-01T00:00:00"/>
    <d v="2020-03-31T00:00:00"/>
    <s v="Liability"/>
    <n v="3"/>
    <s v="Animesh Rawat"/>
    <s v="Ahmedabad"/>
    <s v="Global Client Network (GNB Inward)"/>
    <x v="0"/>
    <n v="5206"/>
    <d v="2019-04-01T00:00:00"/>
    <s v="Brokerage"/>
    <s v="Renewal"/>
    <m/>
    <d v="2020-01-22T00:00:00"/>
  </r>
  <r>
    <s v="Sanjay Trivedi"/>
    <s v="FM00104260000100"/>
    <s v="Active"/>
    <d v="2019-01-29T00:00:00"/>
    <d v="2020-01-28T00:00:00"/>
    <s v="Fire"/>
    <n v="13"/>
    <s v="Vididt Saha"/>
    <s v="Ahmedabad"/>
    <s v="Property / BI"/>
    <x v="1"/>
    <n v="5462.5"/>
    <d v="2019-01-29T00:00:00"/>
    <s v="Brokerage"/>
    <s v="Inception"/>
    <m/>
    <d v="2020-01-22T00:00:00"/>
  </r>
  <r>
    <s v="Anita Sethi"/>
    <s v="2412/202063061201000"/>
    <s v="Active"/>
    <d v="2019-01-07T00:00:00"/>
    <d v="2020-01-06T00:00:00"/>
    <s v="Marine"/>
    <n v="1"/>
    <s v="Vinay"/>
    <s v="Ahmedabad"/>
    <s v="Marine"/>
    <x v="0"/>
    <n v="13612.5"/>
    <d v="2019-01-07T00:00:00"/>
    <s v="Brokerage"/>
    <s v="Endorsement"/>
    <m/>
    <d v="2020-01-22T00:00:00"/>
  </r>
  <r>
    <s v="Ashok Chatterjee"/>
    <s v="2412/202063061201000"/>
    <s v="Active"/>
    <d v="2019-01-07T00:00:00"/>
    <d v="2020-01-06T00:00:00"/>
    <s v="Marine"/>
    <n v="1"/>
    <s v="Vinay"/>
    <s v="Ahmedabad"/>
    <s v="Marine"/>
    <x v="0"/>
    <n v="6991.55"/>
    <d v="2019-04-04T00:00:00"/>
    <s v="Brokerage "/>
    <s v="Endorsement"/>
    <m/>
    <d v="2020-01-22T00:00:00"/>
  </r>
  <r>
    <s v="Rani Agarwal"/>
    <n v="2302003012"/>
    <s v="Active"/>
    <d v="2018-08-27T00:00:00"/>
    <d v="2019-08-26T00:00:00"/>
    <s v="Liability"/>
    <n v="1"/>
    <s v="Vinay"/>
    <s v="Ahmedabad"/>
    <s v="Liability"/>
    <x v="0"/>
    <n v="13750"/>
    <d v="2018-08-27T00:00:00"/>
    <s v="Brokerage"/>
    <s v="Inception"/>
    <m/>
    <d v="2020-01-22T00:00:00"/>
  </r>
  <r>
    <s v="Arjun Rao"/>
    <n v="41045400"/>
    <s v="Active"/>
    <d v="2019-03-19T00:00:00"/>
    <d v="2020-03-18T00:00:00"/>
    <s v="Liability"/>
    <n v="13"/>
    <s v="Vididt Saha"/>
    <s v="Ahmedabad"/>
    <s v="Liability"/>
    <x v="1"/>
    <n v="70125"/>
    <d v="2019-03-19T00:00:00"/>
    <s v="Brokerage"/>
    <s v="Inception"/>
    <m/>
    <d v="2020-01-22T00:00:00"/>
  </r>
  <r>
    <s v="Anil Naik"/>
    <n v="41045403"/>
    <s v="Active"/>
    <d v="2019-03-19T00:00:00"/>
    <d v="2020-03-18T00:00:00"/>
    <s v="Liability"/>
    <n v="13"/>
    <s v="Vididt Saha"/>
    <s v="Ahmedabad"/>
    <s v="Liability"/>
    <x v="1"/>
    <n v="70125"/>
    <d v="2019-03-19T00:00:00"/>
    <s v="Brokerage"/>
    <s v="Inception"/>
    <m/>
    <d v="2020-01-22T00:00:00"/>
  </r>
  <r>
    <s v="Simran Trivedi"/>
    <s v="2018-C1742872-MLO"/>
    <s v="Inactive"/>
    <d v="2018-04-01T00:00:00"/>
    <d v="2019-03-31T00:00:00"/>
    <s v="Marine"/>
    <n v="3"/>
    <s v="Animesh Rawat"/>
    <s v="Ahmedabad"/>
    <s v="Global Client Network (GNB Inward)"/>
    <x v="0"/>
    <n v="208122.92"/>
    <d v="2018-04-01T00:00:00"/>
    <s v="Brokerage"/>
    <s v="Inception"/>
    <m/>
    <d v="2020-01-22T00:00:00"/>
  </r>
  <r>
    <s v="Dhruv Chopra"/>
    <n v="8502066"/>
    <s v="Inactive"/>
    <d v="2018-03-01T00:00:00"/>
    <d v="2019-02-28T00:00:00"/>
    <s v="Marine"/>
    <n v="3"/>
    <s v="Animesh Rawat"/>
    <s v="Ahmedabad"/>
    <s v="Global Client Network (GNB Inward)"/>
    <x v="0"/>
    <n v="45375.15"/>
    <d v="2018-03-01T00:00:00"/>
    <s v="Brokerage"/>
    <s v="Endorsement"/>
    <m/>
    <d v="2020-01-22T00:00:00"/>
  </r>
  <r>
    <s v="Jaya Chopra"/>
    <n v="8502066"/>
    <s v="Inactive"/>
    <d v="2018-03-01T00:00:00"/>
    <d v="2019-02-28T00:00:00"/>
    <s v="Marine"/>
    <n v="3"/>
    <s v="Animesh Rawat"/>
    <s v="Ahmedabad"/>
    <s v="Global Client Network (GNB Inward)"/>
    <x v="0"/>
    <n v="18150"/>
    <d v="2019-01-03T00:00:00"/>
    <s v="Brokerage "/>
    <s v="Endorsement"/>
    <m/>
    <d v="2020-01-22T00:00:00"/>
  </r>
  <r>
    <s v="Kiran Goyal"/>
    <s v="0000000008502066-01"/>
    <s v="Active"/>
    <d v="2019-03-01T00:00:00"/>
    <d v="2020-06-30T00:00:00"/>
    <s v="Marine"/>
    <n v="3"/>
    <s v="Animesh Rawat"/>
    <s v="Ahmedabad"/>
    <s v="Global Client Network (GNB Inward)"/>
    <x v="0"/>
    <n v="45375.15"/>
    <d v="2019-03-01T00:00:00"/>
    <s v="Brokerage"/>
    <s v="Endorsement"/>
    <m/>
    <d v="2020-01-22T00:00:00"/>
  </r>
  <r>
    <s v="Pravin Sengupta"/>
    <s v="0000000008502066-01"/>
    <s v="Active"/>
    <d v="2019-03-01T00:00:00"/>
    <d v="2020-02-29T00:00:00"/>
    <s v="Marine"/>
    <n v="3"/>
    <s v="Animesh Rawat"/>
    <s v="Ahmedabad"/>
    <s v="Global Client Network (GNB Inward)"/>
    <x v="0"/>
    <n v="45375"/>
    <d v="2019-07-20T00:00:00"/>
    <s v="Brokerage "/>
    <s v="Endorsement"/>
    <m/>
    <d v="2020-01-22T00:00:00"/>
  </r>
  <r>
    <s v="Snehal Das"/>
    <s v="0000000008502066-01"/>
    <s v="Active"/>
    <d v="2019-03-01T00:00:00"/>
    <d v="2020-02-29T00:00:00"/>
    <s v="Marine"/>
    <n v="3"/>
    <s v="Animesh Rawat"/>
    <s v="Ahmedabad"/>
    <s v="Global Client Network (GNB Inward)"/>
    <x v="0"/>
    <n v="0"/>
    <m/>
    <s v="Brokerage "/>
    <s v="Endorsement"/>
    <m/>
    <d v="2020-01-22T00:00:00"/>
  </r>
  <r>
    <s v="Rajesh Malhotra"/>
    <n v="2.9992015408021002E+18"/>
    <s v="Inactive"/>
    <d v="2018-11-01T00:00:00"/>
    <d v="2019-10-31T00:00:00"/>
    <s v="Employee Benefits"/>
    <n v="10"/>
    <s v="Mark"/>
    <s v="Ahmedabad"/>
    <s v="Employee Benefits (EB)"/>
    <x v="0"/>
    <n v="6157.88"/>
    <d v="2018-11-01T00:00:00"/>
    <s v="Brokerage"/>
    <s v="Endorsement"/>
    <m/>
    <d v="2020-01-22T00:00:00"/>
  </r>
  <r>
    <s v="Archana Bhatia"/>
    <n v="2.9992015408021002E+18"/>
    <s v="Inactive"/>
    <d v="2018-11-01T00:00:00"/>
    <d v="2019-10-31T00:00:00"/>
    <s v="Employee Benefits"/>
    <n v="10"/>
    <s v="Mark"/>
    <s v="Ahmedabad"/>
    <s v="Employee Benefits (EB)"/>
    <x v="0"/>
    <m/>
    <d v="2018-12-05T00:00:00"/>
    <s v="Brokerage "/>
    <s v="Endorsement"/>
    <m/>
    <d v="2020-01-22T00:00:00"/>
  </r>
  <r>
    <s v="Ashok Reddy"/>
    <n v="2.9992015408021002E+18"/>
    <s v="Inactive"/>
    <d v="2018-11-01T00:00:00"/>
    <d v="2019-10-31T00:00:00"/>
    <s v="Employee Benefits"/>
    <n v="10"/>
    <s v="Mark"/>
    <s v="Ahmedabad"/>
    <s v="Employee Benefits (EB)"/>
    <x v="0"/>
    <n v="113.48"/>
    <d v="2019-02-08T00:00:00"/>
    <s v="Brokerage "/>
    <s v="Endorsement"/>
    <m/>
    <d v="2020-01-22T00:00:00"/>
  </r>
  <r>
    <s v="Madhuri Bhatia"/>
    <n v="2.9992015408021002E+18"/>
    <s v="Active"/>
    <d v="2019-11-01T00:00:00"/>
    <d v="2020-10-31T00:00:00"/>
    <s v="Employee Benefits"/>
    <n v="10"/>
    <s v="Mark"/>
    <s v="Ahmedabad"/>
    <s v="Employee Benefits (EB)"/>
    <x v="0"/>
    <n v="4302.3"/>
    <d v="2019-11-01T00:00:00"/>
    <s v="Brokerage"/>
    <s v="Renewal"/>
    <m/>
    <d v="2020-01-22T00:00:00"/>
  </r>
  <r>
    <s v="Pranav Mishra"/>
    <s v="4101190600000030-00"/>
    <s v="Active"/>
    <d v="2019-05-17T00:00:00"/>
    <d v="2020-05-16T00:00:00"/>
    <s v="Employee Benefits"/>
    <n v="10"/>
    <s v="Mark"/>
    <s v="Ahmedabad"/>
    <s v="Employee Benefits (EB)"/>
    <x v="0"/>
    <n v="52500"/>
    <d v="2019-05-17T00:00:00"/>
    <s v="Brokerage"/>
    <s v="Inception"/>
    <m/>
    <d v="2020-01-22T00:00:00"/>
  </r>
  <r>
    <s v="Rina Goyal"/>
    <s v="OG-19-2202-0425-00000018"/>
    <s v="Inactive"/>
    <d v="2018-07-01T00:00:00"/>
    <d v="2019-06-30T00:00:00"/>
    <s v="Miscellaneous"/>
    <n v="3"/>
    <s v="Animesh Rawat"/>
    <s v="Ahmedabad"/>
    <s v="Global Client Network (GNB Inward)"/>
    <x v="2"/>
    <n v="1147.82"/>
    <d v="2019-06-30T00:00:00"/>
    <s v="Brokerage"/>
    <s v="Inception"/>
    <m/>
    <d v="2020-01-22T00:00:00"/>
  </r>
  <r>
    <s v="Geeta Gupta"/>
    <s v="OG-19-2202-3304-00000007"/>
    <s v="Inactive"/>
    <d v="2018-07-01T00:00:00"/>
    <d v="2019-06-30T00:00:00"/>
    <s v="Liability"/>
    <n v="3"/>
    <s v="Animesh Rawat"/>
    <s v="Ahmedabad"/>
    <s v="Global Client Network (GNB Inward)"/>
    <x v="0"/>
    <n v="1896.63"/>
    <d v="2018-07-01T00:00:00"/>
    <s v="Brokerage"/>
    <s v="Inception"/>
    <m/>
    <d v="2020-01-22T00:00:00"/>
  </r>
  <r>
    <s v="Sudhir Roy"/>
    <s v="OG-19-2202-3315-00000007-1"/>
    <s v="Inactive"/>
    <d v="2018-07-02T00:00:00"/>
    <d v="2019-06-30T00:00:00"/>
    <s v="Liability"/>
    <n v="3"/>
    <s v="Animesh Rawat"/>
    <s v="Ahmedabad"/>
    <s v="Global Client Network (GNB Inward)"/>
    <x v="0"/>
    <n v="0"/>
    <d v="2019-06-30T00:00:00"/>
    <s v="Brokerage"/>
    <s v="Inception"/>
    <m/>
    <d v="2020-01-22T00:00:00"/>
  </r>
  <r>
    <s v="Rani Kaul"/>
    <s v="OG-19-2202-3383-00000003"/>
    <s v="Inactive"/>
    <d v="2018-07-01T00:00:00"/>
    <d v="2019-06-30T00:00:00"/>
    <s v="Liability"/>
    <n v="3"/>
    <s v="Animesh Rawat"/>
    <s v="Ahmedabad"/>
    <s v="Global Client Network (GNB Inward)"/>
    <x v="0"/>
    <n v="48125"/>
    <d v="2018-07-01T00:00:00"/>
    <s v="Brokerage"/>
    <s v="Inception"/>
    <m/>
    <d v="2020-01-22T00:00:00"/>
  </r>
  <r>
    <s v="Kavita Sharma"/>
    <s v="OG-19-2202-4002-00000009"/>
    <s v="Inactive"/>
    <d v="2018-07-01T00:00:00"/>
    <d v="2019-06-30T00:00:00"/>
    <s v="Fire"/>
    <n v="3"/>
    <s v="Animesh Rawat"/>
    <s v="Ahmedabad"/>
    <s v="Global Client Network (GNB Inward)"/>
    <x v="0"/>
    <n v="13560.92"/>
    <d v="2018-07-01T00:00:00"/>
    <s v="Brokerage"/>
    <s v="Inception"/>
    <m/>
    <d v="2020-01-22T00:00:00"/>
  </r>
  <r>
    <s v="Shikha Sethi"/>
    <s v="OG-19-2202-4004-00000034"/>
    <s v="Inactive"/>
    <d v="2018-07-01T00:00:00"/>
    <d v="2019-06-30T00:00:00"/>
    <s v="Fire"/>
    <n v="3"/>
    <s v="Animesh Rawat"/>
    <s v="Ahmedabad"/>
    <s v="Global Client Network (GNB Inward)"/>
    <x v="0"/>
    <n v="55052.69"/>
    <d v="2018-07-01T00:00:00"/>
    <s v="Brokerage"/>
    <s v="Inception"/>
    <m/>
    <d v="2020-01-22T00:00:00"/>
  </r>
  <r>
    <s v="Amit Bhargava"/>
    <s v="OG-19-2202-4004-00000038"/>
    <s v="Inactive"/>
    <d v="2018-07-01T00:00:00"/>
    <d v="2019-06-30T00:00:00"/>
    <s v="Fire"/>
    <n v="3"/>
    <s v="Animesh Rawat"/>
    <s v="Ahmedabad"/>
    <s v="Global Client Network (GNB Inward)"/>
    <x v="0"/>
    <n v="14131.43"/>
    <d v="2018-07-01T00:00:00"/>
    <s v="Brokerage"/>
    <s v="Inception"/>
    <m/>
    <d v="2020-01-22T00:00:00"/>
  </r>
  <r>
    <s v="Alka Goel"/>
    <s v="OG-19-2202-4010-00000762"/>
    <s v="Inactive"/>
    <d v="2018-07-01T00:00:00"/>
    <d v="2019-06-30T00:00:00"/>
    <s v="Miscellaneous"/>
    <n v="3"/>
    <s v="Animesh Rawat"/>
    <s v="Ahmedabad"/>
    <s v="Global Client Network (GNB Inward)"/>
    <x v="0"/>
    <n v="3125"/>
    <d v="2018-07-01T00:00:00"/>
    <s v="Brokerage"/>
    <s v="Inception"/>
    <m/>
    <d v="2020-01-22T00:00:00"/>
  </r>
  <r>
    <s v="Harish Sharma"/>
    <s v="OG-19-2202-4010-00000789"/>
    <s v="Inactive"/>
    <d v="2018-07-01T00:00:00"/>
    <d v="2019-06-30T00:00:00"/>
    <s v="Miscellaneous"/>
    <n v="3"/>
    <s v="Animesh Rawat"/>
    <s v="Ahmedabad"/>
    <s v="Global Client Network (GNB Inward)"/>
    <x v="0"/>
    <n v="1125"/>
    <d v="2018-07-01T00:00:00"/>
    <s v="Brokerage"/>
    <s v="Inception"/>
    <m/>
    <d v="2020-01-22T00:00:00"/>
  </r>
  <r>
    <s v="Gaurav Goel"/>
    <s v="OG-19-2202-9931-00001420"/>
    <s v="Inactive"/>
    <d v="2018-07-01T00:00:00"/>
    <d v="2019-06-30T00:00:00"/>
    <s v="Miscellaneous"/>
    <n v="3"/>
    <s v="Animesh Rawat"/>
    <s v="Ahmedabad"/>
    <s v="Global Client Network (GNB Inward)"/>
    <x v="0"/>
    <n v="4706.25"/>
    <d v="2018-07-01T00:00:00"/>
    <s v="Brokerage"/>
    <s v="Inception"/>
    <m/>
    <d v="2020-01-22T00:00:00"/>
  </r>
  <r>
    <s v="Ravi Naik"/>
    <s v="OG-20-2202-0425-00000017"/>
    <s v="Active"/>
    <d v="2019-07-01T00:00:00"/>
    <d v="2020-06-30T00:00:00"/>
    <s v="Miscellaneous"/>
    <n v="3"/>
    <s v="Animesh Rawat"/>
    <s v="Ahmedabad"/>
    <s v="Global Client Network (GNB Inward)"/>
    <x v="0"/>
    <n v="825"/>
    <d v="2019-07-01T00:00:00"/>
    <s v="Brokerage"/>
    <s v="Renewal"/>
    <m/>
    <d v="2020-01-22T00:00:00"/>
  </r>
  <r>
    <s v="Kamlesh Prasad"/>
    <s v="OG-20-2202-3304-00000009"/>
    <s v="Active"/>
    <d v="2019-07-01T00:00:00"/>
    <d v="2020-06-30T00:00:00"/>
    <s v="Liability"/>
    <n v="3"/>
    <s v="Animesh Rawat"/>
    <s v="Ahmedabad"/>
    <s v="Global Client Network (GNB Inward)"/>
    <x v="0"/>
    <n v="1896.63"/>
    <d v="2019-07-01T00:00:00"/>
    <s v="Brokerage"/>
    <s v="Renewal"/>
    <m/>
    <d v="2020-01-22T00:00:00"/>
  </r>
  <r>
    <s v="Nikhil Verma"/>
    <s v="OG-20-2202-3315-00000012"/>
    <s v="Active"/>
    <d v="2019-08-02T00:00:00"/>
    <d v="2020-08-01T00:00:00"/>
    <s v="Liability"/>
    <n v="3"/>
    <s v="Animesh Rawat"/>
    <s v="Ahmedabad"/>
    <s v="Global Client Network (GNB Inward)"/>
    <x v="0"/>
    <n v="19181.25"/>
    <d v="2019-08-02T00:00:00"/>
    <s v="Brokerage"/>
    <s v="Renewal"/>
    <m/>
    <d v="2020-01-22T00:00:00"/>
  </r>
  <r>
    <s v="Vaishali Desai"/>
    <s v="OG-20-2202-3383-00000002"/>
    <s v="Active"/>
    <d v="2019-07-01T00:00:00"/>
    <d v="2020-06-30T00:00:00"/>
    <s v="Liability"/>
    <n v="3"/>
    <s v="Animesh Rawat"/>
    <s v="Ahmedabad"/>
    <s v="Global Client Network (GNB Inward)"/>
    <x v="0"/>
    <n v="42500"/>
    <d v="2019-07-01T00:00:00"/>
    <s v="Brokerage"/>
    <s v="Renewal"/>
    <m/>
    <d v="2020-01-22T00:00:00"/>
  </r>
  <r>
    <s v="Atul Naik"/>
    <s v="OG-20-2202-4002-00000010"/>
    <s v="Active"/>
    <d v="2019-07-01T00:00:00"/>
    <d v="2020-06-30T00:00:00"/>
    <s v="Fire"/>
    <n v="3"/>
    <s v="Animesh Rawat"/>
    <s v="Ahmedabad"/>
    <s v="Global Client Network (GNB Inward)"/>
    <x v="0"/>
    <n v="10917.07"/>
    <d v="2019-07-01T00:00:00"/>
    <s v="Brokerage"/>
    <s v="Renewal"/>
    <m/>
    <d v="2020-01-22T00:00:00"/>
  </r>
  <r>
    <s v="Meena Bhargava"/>
    <s v="OG-20-2202-4004-00000062"/>
    <s v="Active"/>
    <d v="2019-07-01T00:00:00"/>
    <d v="2020-06-30T00:00:00"/>
    <s v="Fire"/>
    <n v="3"/>
    <s v="Animesh Rawat"/>
    <s v="Ahmedabad"/>
    <s v="Global Client Network (GNB Inward)"/>
    <x v="0"/>
    <n v="60713.1"/>
    <d v="2019-07-01T00:00:00"/>
    <s v="Brokerage"/>
    <s v="Renewal"/>
    <m/>
    <d v="2020-01-22T00:00:00"/>
  </r>
  <r>
    <s v="Mona Chopra"/>
    <s v="OG-20-2202-4004-00000064"/>
    <s v="Active"/>
    <d v="2019-07-01T00:00:00"/>
    <d v="2020-06-30T00:00:00"/>
    <s v="Fire"/>
    <n v="3"/>
    <s v="Animesh Rawat"/>
    <s v="Ahmedabad"/>
    <s v="Global Client Network (GNB Inward)"/>
    <x v="0"/>
    <n v="12349.97"/>
    <d v="2019-07-01T00:00:00"/>
    <s v="Brokerage"/>
    <s v="Renewal"/>
    <m/>
    <d v="2020-01-22T00:00:00"/>
  </r>
  <r>
    <s v="Mohit Tiwari"/>
    <s v="OG-20-2202-4010-00000869"/>
    <s v="Active"/>
    <d v="2019-07-01T00:00:00"/>
    <d v="2020-06-30T00:00:00"/>
    <s v="Miscellaneous"/>
    <n v="3"/>
    <s v="Animesh Rawat"/>
    <s v="Ahmedabad"/>
    <s v="Global Client Network (GNB Inward)"/>
    <x v="0"/>
    <n v="3375"/>
    <d v="2019-07-01T00:00:00"/>
    <s v="Brokerage"/>
    <s v="Renewal"/>
    <m/>
    <d v="2020-01-22T00:00:00"/>
  </r>
  <r>
    <s v="Tina Dutta"/>
    <s v="OG-20-2202-4010-00000905"/>
    <s v="Active"/>
    <d v="2019-07-01T00:00:00"/>
    <d v="2020-06-30T00:00:00"/>
    <s v="Miscellaneous"/>
    <n v="3"/>
    <s v="Animesh Rawat"/>
    <s v="Ahmedabad"/>
    <s v="Global Client Network (GNB Inward)"/>
    <x v="0"/>
    <n v="875"/>
    <d v="2019-07-01T00:00:00"/>
    <s v="Brokerage"/>
    <s v="Renewal"/>
    <m/>
    <d v="2020-01-22T00:00:00"/>
  </r>
  <r>
    <s v="Hemant Das"/>
    <s v="OG-20-2202-9931-00032558"/>
    <s v="Active"/>
    <d v="2019-07-01T00:00:00"/>
    <d v="2020-06-30T00:00:00"/>
    <s v="Miscellaneous"/>
    <n v="3"/>
    <s v="Animesh Rawat"/>
    <s v="Ahmedabad"/>
    <s v="Global Client Network (GNB Inward)"/>
    <x v="0"/>
    <n v="1556.25"/>
    <d v="2019-07-01T00:00:00"/>
    <s v="Brokerage"/>
    <s v="Renewal"/>
    <m/>
    <d v="2020-01-22T00:00:00"/>
  </r>
  <r>
    <s v="Sanjana Bhargava"/>
    <n v="301004728"/>
    <s v="Inactive"/>
    <d v="2018-09-30T00:00:00"/>
    <d v="2019-09-29T00:00:00"/>
    <s v="Liability"/>
    <n v="3"/>
    <s v="Animesh Rawat"/>
    <s v="Ahmedabad"/>
    <s v="Global Client Network (GNB Inward)"/>
    <x v="0"/>
    <n v="186534.13"/>
    <d v="2018-09-30T00:00:00"/>
    <s v="Brokerage"/>
    <s v="Inception"/>
    <m/>
    <d v="2020-01-22T00:00:00"/>
  </r>
  <r>
    <s v="Kamlesh Trivedi"/>
    <s v="0301004728-2019"/>
    <s v="Active"/>
    <d v="2019-09-30T00:00:00"/>
    <d v="2020-09-29T00:00:00"/>
    <s v="Liability"/>
    <n v="3"/>
    <s v="Animesh Rawat"/>
    <s v="Ahmedabad"/>
    <s v="Global Client Network (GNB Inward)"/>
    <x v="0"/>
    <n v="202350"/>
    <d v="2019-09-30T00:00:00"/>
    <s v="Brokerage"/>
    <s v="Renewal"/>
    <m/>
    <d v="2020-01-22T00:00:00"/>
  </r>
  <r>
    <s v="Nikita Tiwari"/>
    <n v="600010004"/>
    <s v="Inactive"/>
    <d v="2018-03-16T00:00:00"/>
    <d v="2019-03-15T00:00:00"/>
    <s v="Miscellaneous"/>
    <n v="3"/>
    <s v="Animesh Rawat"/>
    <s v="Ahmedabad"/>
    <s v="Global Client Network (GNB Inward)"/>
    <x v="2"/>
    <n v="750.63"/>
    <d v="2018-03-16T00:00:00"/>
    <s v="Brokerage"/>
    <s v="Inception"/>
    <m/>
    <d v="2020-01-22T00:00:00"/>
  </r>
  <r>
    <s v="Kapil Kapoor"/>
    <s v="0600010004 01"/>
    <s v="Inactive"/>
    <d v="2019-03-16T00:00:00"/>
    <d v="2019-04-15T00:00:00"/>
    <s v="Miscellaneous"/>
    <n v="3"/>
    <s v="Animesh Rawat"/>
    <s v="Ahmedabad"/>
    <s v="Global Client Network (GNB Inward)"/>
    <x v="0"/>
    <n v="63.75"/>
    <d v="2019-03-16T00:00:00"/>
    <s v="Brokerage"/>
    <s v="Renewal"/>
    <m/>
    <d v="2020-01-22T00:00:00"/>
  </r>
  <r>
    <s v="Harish Rana"/>
    <s v="0600010004 02"/>
    <s v="Active"/>
    <d v="2019-04-16T00:00:00"/>
    <d v="2020-04-15T00:00:00"/>
    <s v="Miscellaneous"/>
    <n v="3"/>
    <s v="Animesh Rawat"/>
    <s v="Ahmedabad"/>
    <s v="Global Client Network (GNB Inward)"/>
    <x v="0"/>
    <n v="1556.5"/>
    <d v="2019-04-16T00:00:00"/>
    <s v="Brokerage"/>
    <s v="Renewal"/>
    <m/>
    <d v="2020-01-22T00:00:00"/>
  </r>
  <r>
    <s v="Nikhil Pandit"/>
    <n v="640002231"/>
    <s v="Inactive"/>
    <d v="2018-04-02T00:00:00"/>
    <d v="2019-04-01T00:00:00"/>
    <s v="Fire"/>
    <n v="3"/>
    <s v="Animesh Rawat"/>
    <s v="Ahmedabad"/>
    <s v="Global Client Network (GNB Inward)"/>
    <x v="0"/>
    <n v="46087.63"/>
    <d v="2018-04-02T00:00:00"/>
    <s v="Brokerage"/>
    <s v="Inception"/>
    <m/>
    <d v="2020-01-22T00:00:00"/>
  </r>
  <r>
    <s v="Vivek Rana"/>
    <s v="0640002231 03"/>
    <s v="Inactive"/>
    <d v="2019-04-02T00:00:00"/>
    <d v="2019-04-16T00:00:00"/>
    <s v="Miscellaneous"/>
    <n v="3"/>
    <s v="Animesh Rawat"/>
    <s v="Ahmedabad"/>
    <s v="Global Client Network (GNB Inward)"/>
    <x v="0"/>
    <n v="4362.38"/>
    <d v="2019-04-02T00:00:00"/>
    <s v="Brokerage"/>
    <s v="Renewal"/>
    <m/>
    <d v="2020-01-22T00:00:00"/>
  </r>
  <r>
    <s v="Hemant Nair"/>
    <s v="0640002231 04"/>
    <s v="Active"/>
    <d v="2019-04-17T00:00:00"/>
    <d v="2020-04-01T00:00:00"/>
    <s v="Miscellaneous"/>
    <n v="3"/>
    <s v="Animesh Rawat"/>
    <s v="Ahmedabad"/>
    <s v="Global Client Network (GNB Inward)"/>
    <x v="0"/>
    <n v="65370"/>
    <d v="2019-04-17T00:00:00"/>
    <s v="Brokerage"/>
    <s v="Renewal"/>
    <m/>
    <d v="2020-01-22T00:00:00"/>
  </r>
  <r>
    <s v="Veena Bhargava"/>
    <n v="22515779"/>
    <s v="Active"/>
    <d v="2019-09-30T00:00:00"/>
    <d v="2020-09-29T00:00:00"/>
    <s v="Marine"/>
    <n v="3"/>
    <s v="Animesh Rawat"/>
    <s v="Ahmedabad"/>
    <s v="Global Client Network (GNB Inward)"/>
    <x v="2"/>
    <n v="44259.67"/>
    <d v="2019-09-30T00:00:00"/>
    <s v="Brokerage"/>
    <s v="Inception"/>
    <m/>
    <d v="2020-01-22T00:00:00"/>
  </r>
  <r>
    <s v="Shivam Shah"/>
    <n v="22531899"/>
    <s v="Active"/>
    <d v="2019-10-27T00:00:00"/>
    <d v="2020-10-26T00:00:00"/>
    <s v="Marine"/>
    <n v="3"/>
    <s v="Animesh Rawat"/>
    <s v="Ahmedabad"/>
    <s v="Marine"/>
    <x v="0"/>
    <n v="35112"/>
    <d v="2019-10-27T00:00:00"/>
    <s v="Brokerage"/>
    <s v="Renewal"/>
    <m/>
    <d v="2020-01-22T00:00:00"/>
  </r>
  <r>
    <s v="Bhavna Bhandari"/>
    <n v="22531899"/>
    <s v="Active"/>
    <d v="2019-10-27T00:00:00"/>
    <d v="2020-10-26T00:00:00"/>
    <s v="Marine"/>
    <n v="3"/>
    <s v="Animesh Rawat"/>
    <s v="Ahmedabad"/>
    <s v="Marine"/>
    <x v="0"/>
    <n v="15048"/>
    <d v="2019-10-27T00:00:00"/>
    <s v="Brokerage"/>
    <s v="Renewal"/>
    <m/>
    <d v="2020-01-22T00:00:00"/>
  </r>
  <r>
    <s v="Tarun Shah"/>
    <n v="32099602"/>
    <s v="Inactive"/>
    <d v="2018-01-23T00:00:00"/>
    <d v="2019-01-22T00:00:00"/>
    <s v="Engineering"/>
    <n v="12"/>
    <s v="Shivani Sharma"/>
    <s v="Ahmedabad"/>
    <s v="Global Client Network (GNB Inward)"/>
    <x v="0"/>
    <n v="1072.3399999999999"/>
    <d v="2018-01-23T00:00:00"/>
    <s v="Brokerage"/>
    <s v="Inception"/>
    <m/>
    <d v="2020-01-22T00:00:00"/>
  </r>
  <r>
    <s v="Hemant Chauhan"/>
    <s v="32099602-01"/>
    <s v="Active"/>
    <d v="2019-01-23T00:00:00"/>
    <d v="2020-01-22T00:00:00"/>
    <s v="Engineering"/>
    <n v="3"/>
    <s v="Animesh Rawat"/>
    <s v="Ahmedabad"/>
    <s v="Global Client Network (GNB Inward)"/>
    <x v="0"/>
    <n v="1111.77"/>
    <d v="2019-01-23T00:00:00"/>
    <s v="Brokerage"/>
    <s v="Renewal"/>
    <m/>
    <d v="2020-01-22T00:00:00"/>
  </r>
  <r>
    <s v="Geeta Verma"/>
    <n v="3.2134002011810001E+23"/>
    <s v="Inactive"/>
    <d v="2018-07-31T00:00:00"/>
    <d v="2019-07-30T00:00:00"/>
    <s v="Engineering"/>
    <n v="3"/>
    <s v="Animesh Rawat"/>
    <s v="Ahmedabad"/>
    <s v="Global Client Network (GNB Inward)"/>
    <x v="2"/>
    <n v="27057.200000000001"/>
    <d v="2018-07-31T00:00:00"/>
    <s v="Brokerage"/>
    <s v="Inception"/>
    <m/>
    <d v="2020-01-22T00:00:00"/>
  </r>
  <r>
    <s v="Ashok Patel"/>
    <n v="3.213400201191E+23"/>
    <s v="Active"/>
    <d v="2019-07-31T00:00:00"/>
    <d v="2020-07-30T00:00:00"/>
    <s v="Engineering"/>
    <n v="3"/>
    <s v="Animesh Rawat"/>
    <s v="Ahmedabad"/>
    <s v="Global Client Network (GNB Inward)"/>
    <x v="2"/>
    <n v="87500"/>
    <d v="2019-07-31T00:00:00"/>
    <s v="Brokerage"/>
    <s v="Renewal"/>
    <m/>
    <d v="2020-01-22T00:00:00"/>
  </r>
  <r>
    <s v="Gayatri Reddy"/>
    <s v="APG/I2064820/71/11/006144"/>
    <s v="Inactive"/>
    <d v="2018-11-27T00:00:00"/>
    <d v="2019-11-26T00:00:00"/>
    <s v="Employee Benefits"/>
    <n v="10"/>
    <s v="Mark"/>
    <s v="Ahmedabad"/>
    <s v="Employee Benefits (EB)"/>
    <x v="0"/>
    <n v="7647.1"/>
    <d v="2018-11-27T00:00:00"/>
    <s v="Brokerage"/>
    <s v="Inception"/>
    <m/>
    <d v="2020-01-22T00:00:00"/>
  </r>
  <r>
    <s v="Snehal Patel"/>
    <s v="APG/I2064820/71/11/006343"/>
    <s v="Active"/>
    <d v="2019-11-27T00:00:00"/>
    <d v="2020-11-26T00:00:00"/>
    <s v="Employee Benefits"/>
    <n v="10"/>
    <s v="Mark"/>
    <s v="Ahmedabad"/>
    <s v="Employee Benefits (EB)"/>
    <x v="0"/>
    <n v="12491.85"/>
    <d v="2019-11-27T00:00:00"/>
    <s v="Brokerage"/>
    <s v="Renewal"/>
    <m/>
    <d v="2020-01-22T00:00:00"/>
  </r>
  <r>
    <s v="Vivek Yadav"/>
    <s v="GHS/Q0226519/71"/>
    <s v="Inactive"/>
    <d v="2018-11-27T00:00:00"/>
    <d v="2019-11-26T00:00:00"/>
    <s v="Employee Benefits"/>
    <n v="10"/>
    <s v="Mark"/>
    <s v="Ahmedabad"/>
    <s v="Employee Benefits (EB)"/>
    <x v="0"/>
    <n v="30620.9"/>
    <d v="2018-11-27T00:00:00"/>
    <s v="Brokerage"/>
    <s v="Inception"/>
    <m/>
    <d v="2020-01-22T00:00:00"/>
  </r>
  <r>
    <s v="Kiran Saxena"/>
    <s v="GHS/Q1166066/71"/>
    <s v="Active"/>
    <d v="2019-11-27T00:00:00"/>
    <d v="2020-11-26T00:00:00"/>
    <s v="Employee Benefits"/>
    <n v="10"/>
    <s v="Mark"/>
    <s v="Ahmedabad"/>
    <s v="Employee Benefits (EB)"/>
    <x v="0"/>
    <n v="61342.1"/>
    <d v="2019-11-27T00:00:00"/>
    <s v="Brokerage"/>
    <s v="Renewal"/>
    <m/>
    <d v="2020-01-22T00:00:00"/>
  </r>
  <r>
    <s v="Uday Reddy"/>
    <s v="LWC/I2328626/71/04/005537"/>
    <s v="Active"/>
    <d v="2018-04-13T00:00:00"/>
    <d v="2019-04-12T00:00:00"/>
    <s v="Miscellaneous"/>
    <n v="3"/>
    <s v="Animesh Rawat"/>
    <s v="Ahmedabad"/>
    <s v="Global Client Network (GNB Inward)"/>
    <x v="0"/>
    <n v="3125"/>
    <d v="2018-04-13T00:00:00"/>
    <s v="Brokerage"/>
    <s v="Inception"/>
    <m/>
    <d v="2020-01-22T00:00:00"/>
  </r>
  <r>
    <s v="Anita Pandit"/>
    <s v="OG-18-2202-1018-00000028"/>
    <s v="Active"/>
    <d v="2017-10-27T00:00:00"/>
    <d v="2018-10-26T00:00:00"/>
    <s v="Marine"/>
    <n v="3"/>
    <s v="Animesh Rawat"/>
    <s v="Ahmedabad"/>
    <s v="Global Client Network (GNB Inward)"/>
    <x v="0"/>
    <n v="62714.03"/>
    <d v="2017-10-27T00:00:00"/>
    <s v="Brokerage"/>
    <s v="Inception"/>
    <m/>
    <d v="2020-01-22T00:00:00"/>
  </r>
  <r>
    <s v="Hina Malhotra"/>
    <s v="OG-19-2202-1018-00000047"/>
    <s v="Inactive"/>
    <d v="2018-10-27T00:00:00"/>
    <d v="2019-10-26T00:00:00"/>
    <s v="Marine"/>
    <n v="3"/>
    <s v="Animesh Rawat"/>
    <s v="Ahmedabad"/>
    <s v="Global Client Network (GNB Inward)"/>
    <x v="0"/>
    <n v="85800"/>
    <d v="2018-10-27T00:00:00"/>
    <s v="Brokerage"/>
    <s v="Endorsement"/>
    <m/>
    <d v="2020-01-22T00:00:00"/>
  </r>
  <r>
    <s v="Alka Patel"/>
    <s v="OG-19-2202-1018-00000047"/>
    <s v="Inactive"/>
    <d v="2018-10-27T00:00:00"/>
    <d v="2019-10-26T00:00:00"/>
    <s v="Marine"/>
    <n v="3"/>
    <s v="Animesh Rawat"/>
    <s v="Ahmedabad"/>
    <s v="Global Client Network (GNB Inward)"/>
    <x v="0"/>
    <n v="21450"/>
    <d v="2018-10-27T00:00:00"/>
    <s v="Brokerage"/>
    <s v="Endorsement"/>
    <m/>
    <d v="2020-01-22T00:00:00"/>
  </r>
  <r>
    <s v="Shruti Roy"/>
    <s v="OG-19-2202-1018-00000047"/>
    <s v="Inactive"/>
    <d v="2018-10-27T00:00:00"/>
    <d v="2019-10-26T00:00:00"/>
    <s v="Marine"/>
    <n v="3"/>
    <s v="Animesh Rawat"/>
    <s v="Ahmedabad"/>
    <s v="Global Client Network (GNB Inward)"/>
    <x v="0"/>
    <n v="71765.36"/>
    <d v="2019-10-26T00:00:00"/>
    <s v="Brokerage "/>
    <s v="Endorsement"/>
    <m/>
    <d v="2020-01-22T00:00:00"/>
  </r>
  <r>
    <s v="Archana Singh"/>
    <s v="OG-19-2202-1018-00000047"/>
    <s v="Inactive"/>
    <d v="2018-10-27T00:00:00"/>
    <d v="2019-10-26T00:00:00"/>
    <s v="Marine"/>
    <n v="3"/>
    <s v="Animesh Rawat"/>
    <s v="Ahmedabad"/>
    <s v="Global Client Network (GNB Inward)"/>
    <x v="0"/>
    <n v="17941.34"/>
    <d v="2019-10-26T00:00:00"/>
    <s v="Brokerage "/>
    <s v="Endorsement"/>
    <m/>
    <d v="2020-01-22T00:00:00"/>
  </r>
  <r>
    <s v="Mukul Goyal"/>
    <s v="4016 X 166425941 00 000"/>
    <s v="Active"/>
    <d v="2019-02-22T00:00:00"/>
    <d v="2020-02-21T00:00:00"/>
    <s v="Employee Benefits"/>
    <n v="6"/>
    <s v="Ketan Jain"/>
    <s v="Ahmedabad"/>
    <s v="Employee Benefits (EB)"/>
    <x v="1"/>
    <n v="44999.85"/>
    <d v="2020-02-21T00:00:00"/>
    <s v="Brokerage"/>
    <s v="Inception"/>
    <m/>
    <d v="2020-01-22T00:00:00"/>
  </r>
  <r>
    <s v="Namita Bajaj"/>
    <n v="2309004639"/>
    <s v="Active"/>
    <d v="2019-09-30T00:00:00"/>
    <d v="2025-09-29T00:00:00"/>
    <s v="Liability"/>
    <n v="13"/>
    <s v="Vididt Saha"/>
    <s v="Ahmedabad"/>
    <s v="Liability"/>
    <x v="2"/>
    <n v="47500"/>
    <d v="2019-09-30T00:00:00"/>
    <s v="Brokerage"/>
    <s v="Inception"/>
    <m/>
    <d v="2020-01-22T00:00:00"/>
  </r>
  <r>
    <s v="Nikita Joshi"/>
    <n v="43170512"/>
    <s v="Inactive"/>
    <d v="2019-02-06T00:00:00"/>
    <d v="2019-08-06T00:00:00"/>
    <s v="Miscellaneous"/>
    <n v="13"/>
    <s v="Vididt Saha"/>
    <s v="Ahmedabad"/>
    <s v="Liability"/>
    <x v="2"/>
    <n v="6183.87"/>
    <d v="2019-02-06T00:00:00"/>
    <s v="Brokerage"/>
    <s v="Inception"/>
    <m/>
    <d v="2020-01-22T00:00:00"/>
  </r>
  <r>
    <s v="Tejas Shah"/>
    <n v="43193940"/>
    <s v="Active"/>
    <d v="2019-08-07T00:00:00"/>
    <d v="2020-02-06T00:00:00"/>
    <s v="Miscellaneous"/>
    <n v="13"/>
    <s v="Vididt Saha"/>
    <s v="Ahmedabad"/>
    <s v="Liability"/>
    <x v="2"/>
    <n v="6183.87"/>
    <d v="2019-08-07T00:00:00"/>
    <s v="Brokerage"/>
    <s v="Renewal"/>
    <m/>
    <d v="2020-01-22T00:00:00"/>
  </r>
  <r>
    <s v="Kavita Rao"/>
    <s v="141400/48/2020/1134"/>
    <s v="Active"/>
    <d v="2019-11-08T00:00:00"/>
    <d v="2020-11-07T00:00:00"/>
    <s v="Liability"/>
    <n v="2"/>
    <s v="Abhinav Shivam"/>
    <s v="Ahmedabad"/>
    <s v="Liability"/>
    <x v="1"/>
    <n v="13200"/>
    <d v="2019-11-08T00:00:00"/>
    <s v="Brokerage"/>
    <s v="Inception"/>
    <m/>
    <d v="2020-01-22T00:00:00"/>
  </r>
  <r>
    <s v="Hemant Shah"/>
    <n v="2.3060011180300001E+19"/>
    <s v="Active"/>
    <d v="2019-02-22T00:00:00"/>
    <d v="2020-02-21T00:00:00"/>
    <s v="Fire"/>
    <n v="2"/>
    <s v="Abhinav Shivam"/>
    <s v="Ahmedabad"/>
    <s v="Small Medium Enterpries (SME)"/>
    <x v="1"/>
    <n v="16258"/>
    <d v="2019-02-22T00:00:00"/>
    <s v="Brokerage"/>
    <s v="Inception"/>
    <m/>
    <d v="2020-01-22T00:00:00"/>
  </r>
  <r>
    <s v="Prabhat Naik"/>
    <n v="2.3060011180300001E+19"/>
    <s v="Active"/>
    <d v="2019-02-28T00:00:00"/>
    <d v="2020-02-27T00:00:00"/>
    <s v="Fire"/>
    <n v="2"/>
    <s v="Abhinav Shivam"/>
    <s v="Ahmedabad"/>
    <s v="Small Medium Enterpries (SME)"/>
    <x v="1"/>
    <n v="8227.7900000000009"/>
    <d v="2019-02-28T00:00:00"/>
    <s v="Brokerage"/>
    <s v="Endorsement"/>
    <m/>
    <d v="2020-01-22T00:00:00"/>
  </r>
  <r>
    <s v="Nikhil Tiwari"/>
    <n v="2.3060011180300001E+19"/>
    <s v="Active"/>
    <d v="2019-02-28T00:00:00"/>
    <d v="2020-02-27T00:00:00"/>
    <s v="Fire"/>
    <n v="2"/>
    <s v="Abhinav Shivam"/>
    <s v="Ahmedabad"/>
    <s v="Small Medium Enterpries (SME)"/>
    <x v="1"/>
    <n v="2925.72"/>
    <d v="2019-06-12T00:00:00"/>
    <s v="Brokerage "/>
    <s v="Endorsement"/>
    <m/>
    <d v="2020-01-22T00:00:00"/>
  </r>
  <r>
    <s v="Neha Trivedi"/>
    <n v="2.3060011180300001E+19"/>
    <s v="Active"/>
    <d v="2019-02-28T00:00:00"/>
    <d v="2020-02-27T00:00:00"/>
    <s v="Fire"/>
    <n v="2"/>
    <s v="Abhinav Shivam"/>
    <s v="Ahmedabad"/>
    <s v="Small Medium Enterpries (SME)"/>
    <x v="1"/>
    <n v="2925.72"/>
    <d v="2019-06-12T00:00:00"/>
    <s v="Brokerage "/>
    <s v="Endorsement"/>
    <m/>
    <d v="2020-01-22T00:00:00"/>
  </r>
  <r>
    <s v="Shruti Agarwal"/>
    <n v="2.3060011180300001E+19"/>
    <s v="Active"/>
    <d v="2019-02-28T00:00:00"/>
    <d v="2020-02-27T00:00:00"/>
    <s v="Fire"/>
    <n v="2"/>
    <s v="Abhinav Shivam"/>
    <s v="Ahmedabad"/>
    <s v="Small Medium Enterpries (SME)"/>
    <x v="1"/>
    <n v="5240.78"/>
    <d v="2019-07-12T00:00:00"/>
    <s v="Brokerage "/>
    <s v="Endorsement"/>
    <m/>
    <d v="2020-01-22T00:00:00"/>
  </r>
  <r>
    <s v="Kiran Desai"/>
    <n v="3.1030011191E+17"/>
    <s v="Active"/>
    <d v="2019-11-08T00:00:00"/>
    <d v="2020-11-07T00:00:00"/>
    <s v="Fire"/>
    <n v="2"/>
    <s v="Abhinav Shivam"/>
    <s v="Ahmedabad"/>
    <s v="Small Medium Enterpries (SME)"/>
    <x v="1"/>
    <n v="17232.75"/>
    <d v="2019-11-08T00:00:00"/>
    <s v="Brokerage"/>
    <s v="Inception"/>
    <m/>
    <d v="2020-01-22T00:00:00"/>
  </r>
  <r>
    <s v="Kanchan Iyer"/>
    <n v="3.1030049191E+17"/>
    <s v="Active"/>
    <d v="2019-11-08T00:00:00"/>
    <d v="2020-11-07T00:00:00"/>
    <s v="Liability"/>
    <n v="2"/>
    <s v="Abhinav Shivam"/>
    <s v="Ahmedabad"/>
    <s v="Liability"/>
    <x v="1"/>
    <n v="6250"/>
    <d v="2019-11-08T00:00:00"/>
    <s v="Brokerage"/>
    <s v="Inception"/>
    <m/>
    <d v="2020-01-22T00:00:00"/>
  </r>
  <r>
    <s v="Bhavna Kapoor"/>
    <n v="9.90000111903E+19"/>
    <s v="Active"/>
    <d v="2019-09-08T00:00:00"/>
    <d v="2020-09-07T00:00:00"/>
    <s v="Fire"/>
    <n v="2"/>
    <s v="Abhinav Shivam"/>
    <s v="Ahmedabad"/>
    <s v="Small Medium Enterpries (SME)"/>
    <x v="1"/>
    <n v="72138.929999999993"/>
    <d v="2019-09-08T00:00:00"/>
    <s v="Brokerage"/>
    <s v="Inception"/>
    <m/>
    <d v="2020-01-22T00:00:00"/>
  </r>
  <r>
    <s v="Ritika Reddy"/>
    <n v="9.90000111903E+19"/>
    <s v="Active"/>
    <d v="2019-09-08T00:00:00"/>
    <d v="2020-09-07T00:00:00"/>
    <s v="Fire"/>
    <n v="2"/>
    <s v="Abhinav Shivam"/>
    <s v="Ahmedabad"/>
    <s v="Small Medium Enterpries (SME)"/>
    <x v="1"/>
    <n v="43032.54"/>
    <d v="2019-09-08T00:00:00"/>
    <s v="Brokerage"/>
    <s v="Inception"/>
    <m/>
    <d v="2020-01-22T00:00:00"/>
  </r>
  <r>
    <s v="Suresh Das"/>
    <n v="9.9000046190100005E+19"/>
    <s v="Active"/>
    <d v="2019-09-08T00:00:00"/>
    <d v="2020-09-07T00:00:00"/>
    <s v="Miscellaneous"/>
    <n v="2"/>
    <s v="Abhinav Shivam"/>
    <s v="Ahmedabad"/>
    <s v="Property / BI"/>
    <x v="1"/>
    <n v="11550"/>
    <d v="2019-09-08T00:00:00"/>
    <s v="Brokerage"/>
    <s v="Inception"/>
    <m/>
    <d v="2020-01-22T00:00:00"/>
  </r>
  <r>
    <s v="Shikha Chauhan"/>
    <n v="9.9000046190100005E+19"/>
    <s v="Active"/>
    <d v="2019-09-08T00:00:00"/>
    <d v="2020-09-07T00:00:00"/>
    <s v="Miscellaneous"/>
    <n v="2"/>
    <s v="Abhinav Shivam"/>
    <s v="Ahmedabad"/>
    <s v="Property / BI"/>
    <x v="1"/>
    <n v="7700"/>
    <d v="2019-09-08T00:00:00"/>
    <s v="Brokerage"/>
    <s v="Inception"/>
    <m/>
    <d v="2020-01-22T00:00:00"/>
  </r>
  <r>
    <s v="Hemant Dutta"/>
    <n v="9.9000046190799995E+19"/>
    <s v="Active"/>
    <d v="2019-09-08T00:00:00"/>
    <d v="2020-09-07T00:00:00"/>
    <s v="Miscellaneous"/>
    <n v="2"/>
    <s v="Abhinav Shivam"/>
    <s v="Ahmedabad"/>
    <s v="Small Medium Enterpries (SME)"/>
    <x v="1"/>
    <n v="14461.25"/>
    <d v="2019-09-08T00:00:00"/>
    <s v="Brokerage"/>
    <s v="Endorsement"/>
    <m/>
    <d v="2020-01-22T00:00:00"/>
  </r>
  <r>
    <s v="Dinesh Pandey"/>
    <n v="9.9000046190799995E+19"/>
    <s v="Active"/>
    <d v="2019-09-08T00:00:00"/>
    <d v="2020-09-07T00:00:00"/>
    <s v="Miscellaneous"/>
    <n v="2"/>
    <s v="Abhinav Shivam"/>
    <s v="Ahmedabad"/>
    <s v="Small Medium Enterpries (SME)"/>
    <x v="1"/>
    <n v="13153.63"/>
    <d v="2019-10-10T00:00:00"/>
    <s v="Brokerage "/>
    <s v="Endorsement"/>
    <m/>
    <d v="2020-01-22T00:00:00"/>
  </r>
  <r>
    <s v="Archana Iyer"/>
    <n v="9.9000044180300005E+19"/>
    <s v="Inactive"/>
    <d v="2018-04-04T00:00:00"/>
    <d v="2024-07-05T00:00:00"/>
    <s v="Engineering"/>
    <n v="13"/>
    <s v="Vididt Saha"/>
    <s v="Ahmedabad"/>
    <s v="Construction, Power &amp; Infrastructure"/>
    <x v="1"/>
    <n v="0"/>
    <d v="2018-04-04T00:00:00"/>
    <s v="Brokerage"/>
    <s v="Lapse"/>
    <s v="OTHR â€“ Other"/>
    <d v="2020-01-22T00:00:00"/>
  </r>
  <r>
    <s v="Deepak Menon"/>
    <n v="9.9000044180300005E+19"/>
    <s v="Inactive"/>
    <d v="2018-06-22T00:00:00"/>
    <d v="2019-09-21T00:00:00"/>
    <s v="Engineering"/>
    <n v="13"/>
    <s v="Vididt Saha"/>
    <s v="Ahmedabad"/>
    <s v="Construction, Power &amp; Infrastructure"/>
    <x v="2"/>
    <n v="15625"/>
    <d v="2018-06-22T00:00:00"/>
    <s v="Brokerage"/>
    <s v="Lapse"/>
    <s v="MERC â€“ Merged with new combined policy"/>
    <d v="2020-01-22T00:00:00"/>
  </r>
  <r>
    <s v="Vivek Gupta"/>
    <n v="9.9000044190299996E+19"/>
    <s v="Active"/>
    <d v="2019-04-25T00:00:00"/>
    <d v="2021-04-24T00:00:00"/>
    <s v="Engineering"/>
    <n v="13"/>
    <s v="Vididt Saha"/>
    <s v="Ahmedabad"/>
    <s v="Construction, Power &amp; Infrastructure"/>
    <x v="2"/>
    <n v="134736.13"/>
    <d v="2019-04-25T00:00:00"/>
    <s v="Brokerage"/>
    <s v="Inception"/>
    <m/>
    <d v="2020-01-22T00:00:00"/>
  </r>
  <r>
    <s v="Rina Shah"/>
    <n v="9.9000044190299996E+19"/>
    <s v="Active"/>
    <d v="2019-09-11T00:00:00"/>
    <d v="2020-09-10T00:00:00"/>
    <s v="Engineering"/>
    <n v="13"/>
    <s v="Vididt Saha"/>
    <s v="Ahmedabad"/>
    <s v="Construction, Power &amp; Infrastructure"/>
    <x v="2"/>
    <n v="32584.880000000001"/>
    <d v="2019-09-11T00:00:00"/>
    <s v="Brokerage"/>
    <s v="Inception"/>
    <m/>
    <d v="2020-01-22T00:00:00"/>
  </r>
  <r>
    <s v="Uday Prasad"/>
    <n v="9.9000044190299996E+19"/>
    <s v="Active"/>
    <d v="2019-09-22T00:00:00"/>
    <d v="2020-03-21T00:00:00"/>
    <s v="Engineering"/>
    <n v="13"/>
    <s v="Vididt Saha"/>
    <s v="Ahmedabad"/>
    <s v="Construction, Power &amp; Infrastructure"/>
    <x v="2"/>
    <n v="8044.5"/>
    <d v="2019-09-22T00:00:00"/>
    <s v="Brokerage"/>
    <s v="Inception"/>
    <m/>
    <d v="2020-01-22T00:00:00"/>
  </r>
  <r>
    <s v="Nitin Kapoor"/>
    <s v="'0000000008539844-01"/>
    <s v="Inactive"/>
    <d v="2019-02-27T00:00:00"/>
    <d v="2020-02-26T00:00:00"/>
    <s v="Fire"/>
    <n v="1"/>
    <s v="Vinay"/>
    <s v="Ahmedabad"/>
    <s v="Property / BI"/>
    <x v="0"/>
    <n v="2141.5500000000002"/>
    <d v="2019-02-27T00:00:00"/>
    <s v="Brokerage"/>
    <s v="Lapse"/>
    <s v="OTHR â€“ Other"/>
    <d v="2020-01-22T00:00:00"/>
  </r>
  <r>
    <s v="Harish Kaul"/>
    <s v="00000000085/39886"/>
    <s v="Active"/>
    <d v="2018-02-27T00:00:00"/>
    <d v="2019-02-26T00:00:00"/>
    <s v="Fire"/>
    <n v="1"/>
    <s v="Vinay"/>
    <s v="Ahmedabad"/>
    <s v="Property / BI"/>
    <x v="0"/>
    <n v="2486.0700000000002"/>
    <d v="2018-02-27T00:00:00"/>
    <s v="Brokerage"/>
    <s v="Inception"/>
    <m/>
    <d v="2020-01-22T00:00:00"/>
  </r>
  <r>
    <s v="Neeraj Arora"/>
    <n v="8539944"/>
    <s v="Inactive"/>
    <d v="2018-02-27T00:00:00"/>
    <d v="2019-02-26T00:00:00"/>
    <s v="Fire"/>
    <n v="1"/>
    <s v="Vinay"/>
    <s v="Ahmedabad"/>
    <s v="Property / BI"/>
    <x v="0"/>
    <n v="6653.1"/>
    <d v="2018-02-27T00:00:00"/>
    <s v="Brokerage"/>
    <s v="Inception"/>
    <m/>
    <d v="2020-01-22T00:00:00"/>
  </r>
  <r>
    <s v="Mukul Kumar"/>
    <s v="'0000000008539944-01"/>
    <s v="Active"/>
    <d v="2019-02-27T00:00:00"/>
    <d v="2020-02-26T00:00:00"/>
    <s v="Fire"/>
    <n v="1"/>
    <s v="Vinay"/>
    <s v="Ahmedabad"/>
    <s v="Property / BI"/>
    <x v="0"/>
    <n v="6979.74"/>
    <d v="2019-02-27T00:00:00"/>
    <s v="Brokerage"/>
    <s v="Renewal"/>
    <m/>
    <d v="2020-01-22T00:00:00"/>
  </r>
  <r>
    <s v="Gauri Naik"/>
    <s v="00000000086/43966"/>
    <s v="Active"/>
    <d v="2018-02-27T00:00:00"/>
    <d v="2019-02-26T00:00:00"/>
    <s v="Fire"/>
    <n v="1"/>
    <s v="Vinay"/>
    <s v="Ahmedabad"/>
    <s v="Property / BI"/>
    <x v="2"/>
    <n v="2283.33"/>
    <d v="2018-02-27T00:00:00"/>
    <s v="Brokerage"/>
    <s v="Inception"/>
    <m/>
    <d v="2020-01-22T00:00:00"/>
  </r>
  <r>
    <s v="Harish Menon"/>
    <n v="41045915"/>
    <s v="Active"/>
    <d v="2019-03-30T00:00:00"/>
    <d v="2020-03-29T00:00:00"/>
    <s v="Liability"/>
    <n v="6"/>
    <s v="Ketan Jain"/>
    <s v="Ahmedabad"/>
    <s v="Liability"/>
    <x v="1"/>
    <n v="14107.5"/>
    <d v="2019-03-30T00:00:00"/>
    <s v="Brokerage"/>
    <s v="Inception"/>
    <m/>
    <d v="2020-01-22T00:00:00"/>
  </r>
  <r>
    <s v="Mohit Gupta"/>
    <n v="2690000174"/>
    <s v="Active"/>
    <d v="2017-12-31T00:00:00"/>
    <d v="2018-12-30T00:00:00"/>
    <s v="Miscellaneous"/>
    <n v="1"/>
    <s v="Vinay"/>
    <s v="Ahmedabad"/>
    <s v="Property / BI"/>
    <x v="0"/>
    <n v="2535.87"/>
    <d v="2017-12-31T00:00:00"/>
    <s v="Brokerage"/>
    <s v="Inception"/>
    <m/>
    <d v="2020-01-22T00:00:00"/>
  </r>
  <r>
    <s v="Amit Arora"/>
    <n v="300004329"/>
    <s v="Inactive"/>
    <d v="2018-01-31T00:00:00"/>
    <d v="2019-01-30T00:00:00"/>
    <s v="Liability"/>
    <n v="1"/>
    <s v="Vinay"/>
    <s v="Ahmedabad"/>
    <s v="Liability"/>
    <x v="0"/>
    <n v="125000"/>
    <d v="2018-01-31T00:00:00"/>
    <s v="Brokerage"/>
    <s v="Inception"/>
    <m/>
    <d v="2020-01-22T00:00:00"/>
  </r>
  <r>
    <s v="Nikita Pandit"/>
    <s v="'0300004329"/>
    <s v="Active"/>
    <d v="2019-01-31T00:00:00"/>
    <d v="2020-01-30T00:00:00"/>
    <s v="Liability"/>
    <n v="1"/>
    <s v="Vinay"/>
    <s v="Ahmedabad"/>
    <s v="Liability"/>
    <x v="0"/>
    <n v="125000"/>
    <d v="2019-01-31T00:00:00"/>
    <s v="Brokerage"/>
    <s v="Renewal"/>
    <m/>
    <d v="2020-01-22T00:00:00"/>
  </r>
  <r>
    <s v="Vikas Gupta"/>
    <n v="304001755"/>
    <s v="Inactive"/>
    <d v="2018-01-31T00:00:00"/>
    <d v="2019-01-30T00:00:00"/>
    <s v="Liability"/>
    <n v="1"/>
    <s v="Vinay"/>
    <s v="Ahmedabad"/>
    <s v="Liability"/>
    <x v="0"/>
    <n v="80000"/>
    <d v="2018-01-31T00:00:00"/>
    <s v="Brokerage"/>
    <s v="Inception"/>
    <m/>
    <d v="2020-01-22T00:00:00"/>
  </r>
  <r>
    <s v="Kamlesh Pillai"/>
    <n v="304001755"/>
    <s v="Inactive"/>
    <d v="2018-01-31T00:00:00"/>
    <d v="2019-01-30T00:00:00"/>
    <s v="Liability"/>
    <n v="1"/>
    <s v="Vinay"/>
    <s v="Ahmedabad"/>
    <s v="Liability"/>
    <x v="0"/>
    <n v="320000"/>
    <d v="2018-01-31T00:00:00"/>
    <s v="Brokerage"/>
    <s v="Inception"/>
    <m/>
    <d v="2020-01-22T00:00:00"/>
  </r>
  <r>
    <s v="Umesh Agarwal"/>
    <s v="'0304001755"/>
    <s v="Active"/>
    <d v="2019-01-31T00:00:00"/>
    <d v="2020-01-30T00:00:00"/>
    <s v="Liability"/>
    <n v="1"/>
    <s v="Vinay"/>
    <s v="Ahmedabad"/>
    <s v="Liability"/>
    <x v="0"/>
    <n v="320000"/>
    <d v="2019-01-31T00:00:00"/>
    <s v="Brokerage"/>
    <s v="Renewal"/>
    <m/>
    <d v="2020-01-22T00:00:00"/>
  </r>
  <r>
    <s v="Ankur Gandhi"/>
    <n v="640001622"/>
    <s v="Inactive"/>
    <d v="2017-12-31T00:00:00"/>
    <d v="2018-12-30T00:00:00"/>
    <s v="Miscellaneous"/>
    <n v="1"/>
    <s v="Vinay"/>
    <s v="Ahmedabad"/>
    <s v="Property / BI"/>
    <x v="0"/>
    <n v="211206.7"/>
    <d v="2017-12-31T00:00:00"/>
    <s v="Brokerage"/>
    <s v="Lapse"/>
    <s v="OTHR â€“ Other"/>
    <d v="2020-01-22T00:00:00"/>
  </r>
  <r>
    <s v="Dinesh Kaul"/>
    <n v="655001664"/>
    <s v="Inactive"/>
    <d v="2018-03-01T00:00:00"/>
    <d v="2019-02-28T00:00:00"/>
    <s v="Fire"/>
    <n v="1"/>
    <s v="Vinay"/>
    <s v="Ahmedabad"/>
    <s v="Property / BI"/>
    <x v="0"/>
    <n v="275569.44"/>
    <d v="2019-03-01T00:00:00"/>
    <s v="Brokerage"/>
    <s v="Inception"/>
    <m/>
    <d v="2020-01-22T00:00:00"/>
  </r>
  <r>
    <s v="Ankur Naik"/>
    <s v="'0655001664 03"/>
    <s v="Active"/>
    <d v="2019-03-01T00:00:00"/>
    <d v="2020-02-29T00:00:00"/>
    <s v="Fire"/>
    <n v="1"/>
    <s v="Vinay"/>
    <s v="Ahmedabad"/>
    <s v="Property / BI"/>
    <x v="0"/>
    <n v="275569.44"/>
    <d v="2019-03-01T00:00:00"/>
    <s v="Brokerage"/>
    <s v="Renewal"/>
    <m/>
    <d v="2020-01-22T00:00:00"/>
  </r>
  <r>
    <s v="ABC"/>
    <s v="0830016972 02"/>
    <s v="Active"/>
    <d v="2019-03-01T00:00:00"/>
    <d v="2020-02-29T00:00:00"/>
    <s v="Marine"/>
    <n v="1"/>
    <s v="Vinay"/>
    <s v="Ahmedabad"/>
    <s v="Marine"/>
    <x v="0"/>
    <n v="50332.73"/>
    <d v="2019-03-01T00:00:00"/>
    <s v="Brokerage"/>
    <s v="Renewal"/>
    <m/>
    <d v="2020-01-22T00:00:00"/>
  </r>
  <r>
    <s v="ABC"/>
    <s v="0830016972Â 01"/>
    <s v="Inactive"/>
    <d v="2018-03-01T00:00:00"/>
    <d v="2019-02-28T00:00:00"/>
    <s v="Marine"/>
    <n v="1"/>
    <s v="Vinay"/>
    <s v="Ahmedabad"/>
    <s v="Marine"/>
    <x v="0"/>
    <n v="57539.3"/>
    <d v="2018-03-01T00:00:00"/>
    <s v="Brokerage"/>
    <s v="Inception"/>
    <m/>
    <d v="2020-01-22T00:00:00"/>
  </r>
  <r>
    <s v="ABC"/>
    <s v="'12063453"/>
    <s v="Active"/>
    <d v="2018-12-14T00:00:00"/>
    <d v="2019-12-13T00:00:00"/>
    <s v="Fire"/>
    <n v="1"/>
    <s v="Vinay"/>
    <s v="Ahmedabad"/>
    <s v="Property / BI"/>
    <x v="0"/>
    <n v="212357.74"/>
    <d v="2018-12-14T00:00:00"/>
    <s v="Brokerage"/>
    <s v="Inception"/>
    <m/>
    <d v="2020-01-22T00:00:00"/>
  </r>
  <r>
    <s v="ABC"/>
    <n v="1.2140036170800001E+19"/>
    <s v="Inactive"/>
    <d v="2018-03-01T00:00:00"/>
    <d v="2019-02-28T00:00:00"/>
    <s v="Liability"/>
    <n v="1"/>
    <s v="Vinay"/>
    <s v="Ahmedabad"/>
    <s v="Liability"/>
    <x v="2"/>
    <n v="31250"/>
    <d v="2018-03-01T00:00:00"/>
    <s v="Brokerage"/>
    <s v="Inception"/>
    <m/>
    <d v="2020-01-22T00:00:00"/>
  </r>
  <r>
    <s v="ABC"/>
    <s v="121400/36/17/17/00000005 "/>
    <s v="Inactive"/>
    <d v="2018-03-01T00:00:00"/>
    <d v="2019-02-28T00:00:00"/>
    <s v="Liability"/>
    <n v="1"/>
    <s v="Vinay"/>
    <s v="Ahmedabad"/>
    <s v="Liability"/>
    <x v="0"/>
    <n v="43750"/>
    <d v="2018-03-01T00:00:00"/>
    <s v="Brokerage"/>
    <s v="Inception"/>
    <m/>
    <d v="2020-01-22T00:00:00"/>
  </r>
  <r>
    <s v="ABC"/>
    <s v="121400/36/17/30/00000014"/>
    <s v="Inactive"/>
    <d v="2018-03-01T00:00:00"/>
    <d v="2019-02-28T00:00:00"/>
    <s v="Liability"/>
    <n v="1"/>
    <s v="Vinay"/>
    <s v="Ahmedabad"/>
    <s v="Liability"/>
    <x v="2"/>
    <n v="75000"/>
    <d v="2018-03-01T00:00:00"/>
    <s v="Brokerage"/>
    <s v="Inception"/>
    <m/>
    <d v="2020-01-22T00:00:00"/>
  </r>
  <r>
    <s v="ABC"/>
    <s v="'12140036180800000001"/>
    <s v="Active"/>
    <d v="2019-03-01T00:00:00"/>
    <d v="2020-02-29T00:00:00"/>
    <s v="Liability"/>
    <n v="1"/>
    <s v="Vinay"/>
    <s v="Ahmedabad"/>
    <s v="Liability"/>
    <x v="2"/>
    <n v="31250"/>
    <d v="2019-03-01T00:00:00"/>
    <s v="Brokerage"/>
    <s v="Renewal"/>
    <m/>
    <d v="2020-01-22T00:00:00"/>
  </r>
  <r>
    <s v="ABC"/>
    <s v="'12140036181700000021"/>
    <s v="Active"/>
    <d v="2019-03-01T00:00:00"/>
    <d v="2020-02-29T00:00:00"/>
    <s v="Liability"/>
    <n v="1"/>
    <s v="Vinay"/>
    <s v="Ahmedabad"/>
    <s v="Liability"/>
    <x v="0"/>
    <n v="43750"/>
    <d v="2019-03-01T00:00:00"/>
    <s v="Brokerage"/>
    <s v="Renewal"/>
    <m/>
    <d v="2020-01-22T00:00:00"/>
  </r>
  <r>
    <s v="ABC"/>
    <s v="'12140036183000000021"/>
    <s v="Active"/>
    <d v="2019-03-01T00:00:00"/>
    <d v="2020-02-29T00:00:00"/>
    <s v="Liability"/>
    <n v="1"/>
    <s v="Vinay"/>
    <s v="Ahmedabad"/>
    <s v="Liability"/>
    <x v="2"/>
    <n v="75000"/>
    <d v="2019-03-01T00:00:00"/>
    <s v="Brokerage"/>
    <s v="Renewal"/>
    <m/>
    <d v="2020-01-22T00:00:00"/>
  </r>
  <r>
    <s v="ABC"/>
    <n v="2302003268"/>
    <s v="Inactive"/>
    <d v="2018-02-11T00:00:00"/>
    <d v="2019-02-10T00:00:00"/>
    <s v="Liability"/>
    <n v="1"/>
    <s v="Vinay"/>
    <s v="Ahmedabad"/>
    <s v="Liability"/>
    <x v="2"/>
    <n v="23125"/>
    <d v="2018-02-11T00:00:00"/>
    <s v="Brokerage"/>
    <s v="Inception"/>
    <m/>
    <d v="2020-01-22T00:00:00"/>
  </r>
  <r>
    <s v="ABC"/>
    <s v="'2302003268"/>
    <s v="Active"/>
    <d v="2019-02-11T00:00:00"/>
    <d v="2020-02-10T00:00:00"/>
    <s v="Liability"/>
    <n v="1"/>
    <s v="Vinay"/>
    <s v="Ahmedabad"/>
    <s v="Liability"/>
    <x v="2"/>
    <n v="21875"/>
    <d v="2019-02-11T00:00:00"/>
    <s v="Brokerage"/>
    <s v="Renewal"/>
    <m/>
    <d v="2020-01-22T00:00:00"/>
  </r>
  <r>
    <s v="ABC"/>
    <n v="2309003346"/>
    <s v="Active"/>
    <d v="2018-08-20T00:00:00"/>
    <d v="2024-08-19T00:00:00"/>
    <s v="Liability"/>
    <n v="1"/>
    <s v="Vinay"/>
    <s v="Ahmedabad"/>
    <s v="Liability"/>
    <x v="2"/>
    <n v="47500"/>
    <d v="2018-08-20T00:00:00"/>
    <s v="Brokerage"/>
    <s v="Inception"/>
    <m/>
    <d v="2020-01-22T00:00:00"/>
  </r>
  <r>
    <s v="ABC"/>
    <n v="2690000349"/>
    <s v="Active"/>
    <d v="2017-12-31T00:00:00"/>
    <d v="2018-12-30T00:00:00"/>
    <s v="Miscellaneous"/>
    <n v="1"/>
    <s v="Vinay"/>
    <s v="Ahmedabad"/>
    <s v="Property / BI"/>
    <x v="0"/>
    <n v="7632.55"/>
    <d v="2017-12-31T00:00:00"/>
    <s v="Brokerage"/>
    <s v="Inception"/>
    <m/>
    <d v="2020-01-22T00:00:00"/>
  </r>
  <r>
    <s v="ABC"/>
    <n v="55020309"/>
    <s v="Active"/>
    <d v="2018-12-14T00:00:00"/>
    <d v="2019-12-13T00:00:00"/>
    <s v="Miscellaneous"/>
    <n v="1"/>
    <s v="Vinay"/>
    <s v="Ahmedabad"/>
    <s v="Property / BI"/>
    <x v="0"/>
    <n v="2563.13"/>
    <d v="2018-12-14T00:00:00"/>
    <s v="Brokerage"/>
    <s v="Inception"/>
    <m/>
    <d v="2020-01-22T00:00:00"/>
  </r>
  <r>
    <s v="ABC"/>
    <s v="2018-F0513845-BSS"/>
    <s v="Inactive"/>
    <d v="2018-06-23T00:00:00"/>
    <d v="2019-06-22T00:00:00"/>
    <s v="Miscellaneous"/>
    <n v="12"/>
    <s v="Shivani Sharma"/>
    <s v="Ahmedabad"/>
    <s v="Global Client Network (GNB Inward)"/>
    <x v="0"/>
    <n v="8269.74"/>
    <d v="2018-06-23T00:00:00"/>
    <s v="Brokerage"/>
    <s v="Endorsement"/>
    <m/>
    <d v="2020-01-22T00:00:00"/>
  </r>
  <r>
    <s v="ABC"/>
    <s v="2018-F0513845-BSS"/>
    <s v="Inactive"/>
    <d v="2018-06-23T00:00:00"/>
    <d v="2019-06-22T00:00:00"/>
    <s v="Miscellaneous"/>
    <n v="12"/>
    <s v="Shivani Sharma"/>
    <s v="Ahmedabad"/>
    <s v="Global Client Network (GNB Inward)"/>
    <x v="0"/>
    <n v="5891"/>
    <d v="2019-02-04T00:00:00"/>
    <s v="Brokerage "/>
    <s v="Endorsement"/>
    <m/>
    <d v="2020-01-22T00:00:00"/>
  </r>
  <r>
    <s v="ABC"/>
    <s v="2018-L0116737-FWC"/>
    <s v="Inactive"/>
    <d v="2018-06-23T00:00:00"/>
    <d v="2019-06-22T00:00:00"/>
    <s v="Liability"/>
    <n v="12"/>
    <s v="Shivani Sharma"/>
    <s v="Ahmedabad"/>
    <s v="Global Client Network (GNB Inward)"/>
    <x v="0"/>
    <n v="2720.25"/>
    <d v="2018-06-23T00:00:00"/>
    <s v="Brokerage"/>
    <s v="Inception"/>
    <m/>
    <d v="2020-01-22T00:00:00"/>
  </r>
  <r>
    <s v="ABC"/>
    <s v="2018-L0116800-PBL"/>
    <s v="Inactive"/>
    <d v="2018-06-23T00:00:00"/>
    <d v="2019-06-22T00:00:00"/>
    <s v="Liability"/>
    <n v="12"/>
    <s v="Shivani Sharma"/>
    <s v="Ahmedabad"/>
    <s v="Global Client Network (GNB Inward)"/>
    <x v="0"/>
    <n v="375"/>
    <d v="2018-06-23T00:00:00"/>
    <s v="Brokerage"/>
    <s v="Inception"/>
    <m/>
    <d v="2020-01-22T00:00:00"/>
  </r>
  <r>
    <s v="ABC"/>
    <s v="2019-F0673106-BSS"/>
    <s v="Active"/>
    <d v="2019-06-23T00:00:00"/>
    <d v="2020-06-22T00:00:00"/>
    <s v="Miscellaneous"/>
    <n v="3"/>
    <s v="Animesh Rawat"/>
    <s v="Ahmedabad"/>
    <s v="Global Client Network (GNB Inward)"/>
    <x v="0"/>
    <n v="15047.5"/>
    <d v="2019-06-23T00:00:00"/>
    <s v="Brokerage"/>
    <s v="Renewal"/>
    <m/>
    <d v="2020-01-22T00:00:00"/>
  </r>
  <r>
    <s v="ABC"/>
    <s v="2019-L0138835-FWC"/>
    <s v="Active"/>
    <d v="2019-06-23T00:00:00"/>
    <d v="2020-06-22T00:00:00"/>
    <s v="Liability"/>
    <n v="3"/>
    <s v="Animesh Rawat"/>
    <s v="Ahmedabad"/>
    <s v="Global Client Network (GNB Inward)"/>
    <x v="0"/>
    <n v="2852.5"/>
    <d v="2019-06-23T00:00:00"/>
    <s v="Brokerage"/>
    <s v="Renewal"/>
    <m/>
    <d v="2020-01-22T00:00:00"/>
  </r>
  <r>
    <s v="ABC"/>
    <s v="2019-L0139704-PBL"/>
    <s v="Active"/>
    <d v="2019-06-23T00:00:00"/>
    <d v="2020-06-22T00:00:00"/>
    <s v="Liability"/>
    <n v="3"/>
    <s v="Animesh Rawat"/>
    <s v="Ahmedabad"/>
    <s v="Global Client Network (GNB Inward)"/>
    <x v="0"/>
    <n v="495"/>
    <d v="2019-06-23T00:00:00"/>
    <s v="Brokerage"/>
    <s v="Renewal"/>
    <m/>
    <d v="2020-01-22T00:00:00"/>
  </r>
  <r>
    <s v="ABC"/>
    <n v="505613"/>
    <s v="Active"/>
    <d v="2019-04-25T00:00:00"/>
    <d v="2020-04-24T00:00:00"/>
    <s v="Employee Benefits"/>
    <n v="10"/>
    <s v="Mark"/>
    <s v="Ahmedabad"/>
    <s v="Employee Benefits (EB)"/>
    <x v="0"/>
    <n v="9294.35"/>
    <d v="2019-04-25T00:00:00"/>
    <s v="Brokerage"/>
    <s v="Inception"/>
    <m/>
    <d v="2020-01-22T00:00:00"/>
  </r>
  <r>
    <s v="ABC"/>
    <s v="FGP-24-18-7001720-01-000"/>
    <s v="Inactive"/>
    <d v="2018-06-23T00:00:00"/>
    <d v="2019-06-22T00:00:00"/>
    <s v="Employee Benefits"/>
    <n v="12"/>
    <s v="Shivani Sharma"/>
    <s v="Ahmedabad"/>
    <s v="Global Client Network (GNB Inward)"/>
    <x v="0"/>
    <n v="2440.25"/>
    <d v="2018-06-23T00:00:00"/>
    <s v="Brokerage"/>
    <s v="Inception"/>
    <m/>
    <d v="2020-01-22T00:00:00"/>
  </r>
  <r>
    <s v="ABC"/>
    <s v="FGP-24-19-7003140-02-000"/>
    <s v="Active"/>
    <d v="2019-06-23T00:00:00"/>
    <d v="2020-06-22T00:00:00"/>
    <s v="Employee Benefits"/>
    <n v="3"/>
    <s v="Animesh Rawat"/>
    <s v="Ahmedabad"/>
    <s v="Global Client Network (GNB Inward)"/>
    <x v="0"/>
    <n v="1412.55"/>
    <d v="2019-06-23T00:00:00"/>
    <s v="Brokerage"/>
    <s v="Renewal"/>
    <m/>
    <d v="2020-01-22T00:00:00"/>
  </r>
  <r>
    <s v="ABC"/>
    <s v="H0088766"/>
    <s v="Active"/>
    <d v="2019-04-24T00:00:00"/>
    <d v="2020-04-23T00:00:00"/>
    <s v="Employee Benefits"/>
    <n v="10"/>
    <s v="Mark"/>
    <s v="Ahmedabad"/>
    <s v="Employee Benefits (EB)"/>
    <x v="0"/>
    <n v="63750"/>
    <d v="2019-04-24T00:00:00"/>
    <s v="Brokerage"/>
    <s v="Endorsement"/>
    <m/>
    <d v="2020-01-22T00:00:00"/>
  </r>
  <r>
    <s v="ABC"/>
    <s v="H0088766"/>
    <s v="Active"/>
    <d v="2019-04-24T00:00:00"/>
    <d v="2020-04-23T00:00:00"/>
    <s v="Employee Benefits"/>
    <n v="10"/>
    <s v="Mark"/>
    <s v="Ahmedabad"/>
    <s v="Employee Benefits (EB)"/>
    <x v="0"/>
    <n v="3098.63"/>
    <d v="2019-07-13T00:00:00"/>
    <s v="Brokerage "/>
    <s v="Endorsement"/>
    <m/>
    <d v="2020-01-22T00:00:00"/>
  </r>
  <r>
    <s v="ABC"/>
    <s v="H0088766"/>
    <s v="Active"/>
    <d v="2019-04-24T00:00:00"/>
    <d v="2020-04-23T00:00:00"/>
    <s v="Employee Benefits"/>
    <n v="10"/>
    <s v="Mark"/>
    <s v="Ahmedabad"/>
    <s v="Employee Benefits (EB)"/>
    <x v="0"/>
    <n v="1747.2"/>
    <d v="2019-07-17T00:00:00"/>
    <s v="Brokerage "/>
    <s v="Endorsement"/>
    <m/>
    <d v="2020-01-22T00:00:00"/>
  </r>
  <r>
    <s v="ABC"/>
    <s v="H0088766"/>
    <s v="Active"/>
    <d v="2019-04-24T00:00:00"/>
    <d v="2020-04-23T00:00:00"/>
    <s v="Employee Benefits"/>
    <n v="10"/>
    <s v="Mark"/>
    <s v="Ahmedabad"/>
    <s v="Employee Benefits (EB)"/>
    <x v="0"/>
    <n v="2458.58"/>
    <d v="2019-05-14T00:00:00"/>
    <s v="Brokerage "/>
    <s v="Endorsement"/>
    <m/>
    <d v="2020-01-22T00:00:00"/>
  </r>
  <r>
    <s v="ABC"/>
    <s v="141100/48/2019/48"/>
    <s v="Inactive"/>
    <d v="2018-04-01T00:00:00"/>
    <d v="2019-03-31T00:00:00"/>
    <s v="Employee Benefits"/>
    <n v="10"/>
    <s v="Mark"/>
    <s v="Ahmedabad"/>
    <s v="Employee Benefits (EB)"/>
    <x v="0"/>
    <n v="11249.93"/>
    <d v="2018-04-01T00:00:00"/>
    <s v="Brokerage"/>
    <s v="Lapse"/>
    <s v="GMAN â€“ Global Mandate"/>
    <d v="2020-01-22T00:00:00"/>
  </r>
  <r>
    <s v="ABC"/>
    <s v="GTL 3193894"/>
    <s v="Inactive"/>
    <d v="2018-04-01T00:00:00"/>
    <d v="2019-03-31T00:00:00"/>
    <s v="Employee Benefits"/>
    <n v="10"/>
    <s v="Mark"/>
    <s v="Ahmedabad"/>
    <s v="Employee Benefits (EB)"/>
    <x v="0"/>
    <n v="14603.3"/>
    <d v="2018-04-01T00:00:00"/>
    <s v="Brokerage"/>
    <s v="Lapse"/>
    <s v="GMAN â€“ Global Mandate"/>
    <d v="2020-01-22T00:00:00"/>
  </r>
  <r>
    <s v="ABC"/>
    <s v="GTL3304779"/>
    <s v="Inactive"/>
    <d v="2018-06-13T00:00:00"/>
    <d v="2019-06-12T00:00:00"/>
    <s v="Employee Benefits"/>
    <n v="10"/>
    <s v="Mark"/>
    <s v="Ahmedabad"/>
    <s v="Employee Benefits (EB)"/>
    <x v="0"/>
    <n v="28940.65"/>
    <d v="2018-06-13T00:00:00"/>
    <s v="Brokerage"/>
    <s v="Lapse"/>
    <s v="GMAN â€“ Global Mandate"/>
    <d v="2020-01-22T00:00:00"/>
  </r>
  <r>
    <s v="ABC"/>
    <s v="0260009050 00"/>
    <s v="Inactive"/>
    <d v="2018-04-01T00:00:00"/>
    <d v="2019-03-31T00:00:00"/>
    <s v="Employee Benefits"/>
    <n v="10"/>
    <s v="Mark"/>
    <s v="Ahmedabad"/>
    <s v="Employee Benefits (EB)"/>
    <x v="0"/>
    <n v="146052.65"/>
    <d v="2018-04-01T00:00:00"/>
    <s v="Brokerage"/>
    <s v="Lapse"/>
    <s v="GMAN â€“ Global Mandate"/>
    <d v="2020-01-22T00:00:00"/>
  </r>
  <r>
    <s v="ABC"/>
    <n v="2309002897"/>
    <s v="Active"/>
    <d v="2019-05-02T00:00:00"/>
    <d v="2020-05-01T00:00:00"/>
    <s v="Liability"/>
    <n v="1"/>
    <s v="Vinay"/>
    <s v="Ahmedabad"/>
    <s v="Liability"/>
    <x v="0"/>
    <n v="25000"/>
    <d v="2019-05-02T00:00:00"/>
    <s v="Brokerage"/>
    <s v="Inception"/>
    <m/>
    <d v="2020-01-22T00:00:00"/>
  </r>
  <r>
    <s v="Sanjay Trivedi"/>
    <n v="206312000000"/>
    <s v="Active"/>
    <d v="2019-02-16T00:00:00"/>
    <d v="2020-02-15T00:00:00"/>
    <s v="Employee Benefits"/>
    <n v="13"/>
    <s v="Vididt Saha"/>
    <s v="Ahmedabad"/>
    <s v="Employee Benefits (EB)"/>
    <x v="1"/>
    <n v="1148.93"/>
    <d v="2019-02-16T00:00:00"/>
    <s v="Brokerage"/>
    <s v="Inception"/>
    <m/>
    <d v="2020-01-22T00:00:00"/>
  </r>
  <r>
    <s v="Anita Sethi"/>
    <n v="206314000000"/>
    <s v="Active"/>
    <d v="2019-02-16T00:00:00"/>
    <d v="2020-02-15T00:00:00"/>
    <s v="Employee Benefits"/>
    <n v="13"/>
    <s v="Vididt Saha"/>
    <s v="Ahmedabad"/>
    <s v="Employee Benefits (EB)"/>
    <x v="1"/>
    <n v="58300"/>
    <d v="2019-02-16T00:00:00"/>
    <s v="Brokerage"/>
    <s v="Inception"/>
    <m/>
    <d v="2020-01-22T00:00:00"/>
  </r>
  <r>
    <s v="Ashok Chatterjee"/>
    <n v="8907502"/>
    <s v="Inactive"/>
    <d v="2018-02-24T00:00:00"/>
    <d v="2019-02-23T00:00:00"/>
    <s v="Liability"/>
    <n v="12"/>
    <s v="Shivani Sharma"/>
    <s v="Ahmedabad"/>
    <s v="Global Client Network (GNB Inward)"/>
    <x v="0"/>
    <n v="6250"/>
    <d v="2018-02-24T00:00:00"/>
    <s v="Brokerage"/>
    <s v="Inception"/>
    <m/>
    <d v="2020-01-22T00:00:00"/>
  </r>
  <r>
    <s v="Rani Agarwal"/>
    <s v="0000000008907502-01"/>
    <s v="Active"/>
    <d v="2019-02-24T00:00:00"/>
    <d v="2020-02-23T00:00:00"/>
    <s v="Liability"/>
    <n v="3"/>
    <s v="Animesh Rawat"/>
    <s v="Ahmedabad"/>
    <s v="Global Client Network (GNB Inward)"/>
    <x v="0"/>
    <n v="6250"/>
    <d v="2019-02-24T00:00:00"/>
    <s v="Brokerage"/>
    <s v="Renewal"/>
    <m/>
    <d v="2020-01-22T00:00:00"/>
  </r>
  <r>
    <s v="Arjun Rao"/>
    <s v="020P000098802000"/>
    <s v="Inactive"/>
    <d v="2018-02-26T00:00:00"/>
    <d v="2019-02-25T00:00:00"/>
    <s v="Liability"/>
    <n v="12"/>
    <s v="Shivani Sharma"/>
    <s v="Ahmedabad"/>
    <s v="Global Client Network (GNB Inward)"/>
    <x v="0"/>
    <n v="12500"/>
    <d v="2018-02-26T00:00:00"/>
    <s v="Brokerage"/>
    <s v="Inception"/>
    <m/>
    <d v="2020-01-22T00:00:00"/>
  </r>
  <r>
    <s v="Anil Naik"/>
    <s v="020P000098803000"/>
    <s v="Active"/>
    <d v="2019-02-26T00:00:00"/>
    <d v="2020-02-25T00:00:00"/>
    <s v="Liability"/>
    <n v="3"/>
    <s v="Animesh Rawat"/>
    <s v="Ahmedabad"/>
    <s v="Global Client Network (GNB Inward)"/>
    <x v="0"/>
    <n v="12500"/>
    <d v="2019-02-26T00:00:00"/>
    <s v="Brokerage"/>
    <s v="Renewal"/>
    <m/>
    <d v="2020-01-22T00:00:00"/>
  </r>
  <r>
    <s v="Simran Trivedi"/>
    <n v="2280082714"/>
    <s v="Active"/>
    <d v="2019-03-11T00:00:00"/>
    <d v="2020-03-10T00:00:00"/>
    <s v="Miscellaneous"/>
    <n v="3"/>
    <s v="Animesh Rawat"/>
    <s v="Ahmedabad"/>
    <s v="Global Client Network (GNB Inward)"/>
    <x v="2"/>
    <n v="2645.75"/>
    <d v="2019-03-11T00:00:00"/>
    <s v="Brokerage"/>
    <s v="Inception"/>
    <m/>
    <d v="2020-01-22T00:00:00"/>
  </r>
  <r>
    <s v="Dhruv Chopra"/>
    <s v="000000000086/4398"/>
    <s v="Inactive"/>
    <d v="2018-02-27T00:00:00"/>
    <d v="2019-02-26T00:00:00"/>
    <s v="Fire"/>
    <n v="1"/>
    <s v="Vinay"/>
    <s v="Ahmedabad"/>
    <s v="Property / BI"/>
    <x v="1"/>
    <n v="2939.29"/>
    <d v="2018-02-27T00:00:00"/>
    <s v="Brokerage"/>
    <s v="Inception"/>
    <m/>
    <d v="2020-01-22T00:00:00"/>
  </r>
  <r>
    <s v="Jaya Chopra"/>
    <n v="8539756"/>
    <s v="Inactive"/>
    <d v="2018-02-27T00:00:00"/>
    <d v="2019-02-26T00:00:00"/>
    <s v="Fire"/>
    <n v="1"/>
    <s v="Vinay"/>
    <s v="Ahmedabad"/>
    <s v="Property / BI"/>
    <x v="0"/>
    <n v="5207.66"/>
    <d v="2018-02-27T00:00:00"/>
    <s v="Brokerage"/>
    <s v="Inception"/>
    <m/>
    <d v="2020-01-22T00:00:00"/>
  </r>
  <r>
    <s v="Kiran Goyal"/>
    <s v="'0000000008539756-01"/>
    <s v="Active"/>
    <d v="2019-02-27T00:00:00"/>
    <d v="2020-02-26T00:00:00"/>
    <s v="Fire"/>
    <n v="1"/>
    <s v="Vinay"/>
    <s v="Ahmedabad"/>
    <s v="Property / BI"/>
    <x v="0"/>
    <n v="5601.1"/>
    <d v="2019-02-27T00:00:00"/>
    <s v="Brokerage"/>
    <s v="Renewal"/>
    <m/>
    <d v="2020-01-22T00:00:00"/>
  </r>
  <r>
    <s v="Pravin Sengupta"/>
    <s v="'0000000008539844"/>
    <s v="Inactive"/>
    <d v="2018-02-27T00:00:00"/>
    <d v="2019-02-26T00:00:00"/>
    <s v="Fire"/>
    <n v="1"/>
    <s v="Vinay"/>
    <s v="Ahmedabad"/>
    <s v="Property / BI"/>
    <x v="2"/>
    <n v="1972.37"/>
    <d v="2018-02-27T00:00:00"/>
    <s v="Brokerage"/>
    <s v="Inception"/>
    <m/>
    <d v="2020-01-22T00:00:00"/>
  </r>
  <r>
    <s v="Snehal Das"/>
    <s v="'0000000008539844-01"/>
    <s v="Active"/>
    <d v="2019-02-27T00:00:00"/>
    <d v="2020-02-26T00:00:00"/>
    <s v="Fire"/>
    <n v="1"/>
    <s v="Vinay"/>
    <s v="Ahmedabad"/>
    <s v="Property / BI"/>
    <x v="2"/>
    <n v="2141.5500000000002"/>
    <d v="2019-02-27T00:00:00"/>
    <s v="Brokerage"/>
    <s v="Renewal"/>
    <m/>
    <d v="2020-01-22T00:00:00"/>
  </r>
  <r>
    <s v="Rajesh Malhotra"/>
    <s v="'0000000008643898-01"/>
    <s v="Active"/>
    <d v="2019-02-27T00:00:00"/>
    <d v="2020-02-26T00:00:00"/>
    <s v="Fire"/>
    <n v="1"/>
    <s v="Vinay"/>
    <s v="Ahmedabad"/>
    <s v="Property / BI"/>
    <x v="0"/>
    <n v="3136.39"/>
    <d v="2019-03-02T00:00:00"/>
    <s v="Brokerage"/>
    <s v="Renewal"/>
    <m/>
    <d v="2020-01-22T00:00:00"/>
  </r>
  <r>
    <s v="Archana Bhatia"/>
    <n v="1.6026192112042202E+17"/>
    <s v="Active"/>
    <d v="2019-11-15T00:00:00"/>
    <d v="2020-11-14T00:00:00"/>
    <s v="Fire"/>
    <n v="1"/>
    <s v="Vinay"/>
    <s v="Ahmedabad"/>
    <s v="Small Medium Enterpries (SME)"/>
    <x v="0"/>
    <n v="35127.9"/>
    <d v="2019-11-15T00:00:00"/>
    <s v="Brokerage"/>
    <s v="Inception"/>
    <m/>
    <d v="2020-01-22T00:00:00"/>
  </r>
  <r>
    <s v="Ashok Reddy"/>
    <s v="'99000044180400000024"/>
    <s v="Active"/>
    <d v="2019-03-12T00:00:00"/>
    <d v="2020-03-11T00:00:00"/>
    <s v="Engineering"/>
    <n v="11"/>
    <s v="Raju Kumar"/>
    <s v="Ahmedabad"/>
    <s v="Construction, Power &amp; Infrastructure"/>
    <x v="2"/>
    <n v="18229.13"/>
    <d v="2019-03-12T00:00:00"/>
    <s v="Brokerage"/>
    <s v="Inception"/>
    <m/>
    <d v="2020-01-22T00:00:00"/>
  </r>
  <r>
    <s v="Madhuri Bhatia"/>
    <s v="LW/00009151000100"/>
    <s v="Active"/>
    <d v="2018-03-16T00:00:00"/>
    <d v="2019-03-15T00:00:00"/>
    <s v="Miscellaneous"/>
    <n v="11"/>
    <s v="Raju Kumar"/>
    <s v="Ahmedabad"/>
    <s v="Liability"/>
    <x v="2"/>
    <n v="6158.75"/>
    <d v="2018-03-16T00:00:00"/>
    <s v="Brokerage"/>
    <s v="Inception"/>
    <m/>
    <d v="2020-01-22T00:00:00"/>
  </r>
  <r>
    <s v="Pranav Mishra"/>
    <s v="2412/202312723700000"/>
    <s v="Active"/>
    <d v="2018-01-22T00:00:00"/>
    <d v="2019-01-21T00:00:00"/>
    <s v="Marine"/>
    <n v="1"/>
    <s v="Vinay"/>
    <s v="Ahmedabad"/>
    <s v="Marine"/>
    <x v="2"/>
    <n v="825"/>
    <d v="2018-01-22T00:00:00"/>
    <s v="Brokerage"/>
    <s v="Inception"/>
    <m/>
    <d v="2020-01-22T00:00:00"/>
  </r>
  <r>
    <s v="Rina Goyal"/>
    <s v="OG-18-2202-4091-00000964"/>
    <s v="Inactive"/>
    <d v="2018-02-20T00:00:00"/>
    <d v="2019-02-19T00:00:00"/>
    <s v="Miscellaneous"/>
    <n v="9"/>
    <s v="Manish Sharma"/>
    <s v="Ahmedabad"/>
    <s v="Property / BI"/>
    <x v="0"/>
    <n v="8452.1299999999992"/>
    <d v="2018-02-20T00:00:00"/>
    <s v="Brokerage"/>
    <s v="Inception"/>
    <m/>
    <d v="2020-01-22T00:00:00"/>
  </r>
  <r>
    <s v="Geeta Gupta"/>
    <s v="1213001118P112967501"/>
    <s v="Active"/>
    <d v="2019-01-01T00:00:00"/>
    <d v="2019-12-31T00:00:00"/>
    <s v="Fire"/>
    <n v="9"/>
    <s v="Manish Sharma"/>
    <s v="Ahmedabad"/>
    <s v="Property / BI"/>
    <x v="2"/>
    <n v="7475"/>
    <d v="2019-01-01T00:00:00"/>
    <s v="Brokerage"/>
    <s v="Inception"/>
    <m/>
    <d v="2020-01-22T00:00:00"/>
  </r>
  <r>
    <s v="Sudhir Roy"/>
    <s v="'310304111810000477"/>
    <s v="Active"/>
    <d v="2019-02-11T00:00:00"/>
    <d v="2020-02-10T00:00:00"/>
    <s v="Miscellaneous"/>
    <n v="9"/>
    <s v="Manish Sharma"/>
    <s v="Ahmedabad"/>
    <s v="Property / BI"/>
    <x v="2"/>
    <n v="15563.87"/>
    <d v="2019-02-11T00:00:00"/>
    <s v="Brokerage"/>
    <s v="Inception"/>
    <m/>
    <d v="2020-01-22T00:00:00"/>
  </r>
  <r>
    <s v="Rani Kaul"/>
    <n v="43177302"/>
    <s v="Active"/>
    <d v="2018-11-28T00:00:00"/>
    <d v="2019-05-27T00:00:00"/>
    <s v="Miscellaneous"/>
    <n v="9"/>
    <s v="Manish Sharma"/>
    <s v="Ahmedabad"/>
    <s v="Employee Benefits (EB)"/>
    <x v="2"/>
    <n v="2739.83"/>
    <d v="2018-11-28T00:00:00"/>
    <s v="Brokerage"/>
    <s v="Inception"/>
    <m/>
    <d v="2020-01-22T00:00:00"/>
  </r>
  <r>
    <s v="Kavita Sharma"/>
    <n v="43179225"/>
    <s v="Active"/>
    <d v="2018-12-29T00:00:00"/>
    <d v="2019-06-28T00:00:00"/>
    <s v="Miscellaneous"/>
    <n v="9"/>
    <s v="Manish Sharma"/>
    <s v="Ahmedabad"/>
    <s v="Employee Benefits (EB)"/>
    <x v="0"/>
    <n v="2228.33"/>
    <d v="2018-12-29T00:00:00"/>
    <s v="Brokerage"/>
    <s v="Inception"/>
    <m/>
    <d v="2020-01-22T00:00:00"/>
  </r>
  <r>
    <s v="Shikha Sethi"/>
    <s v="OG-19-2202-4091-00000967"/>
    <s v="Active"/>
    <d v="2019-02-20T00:00:00"/>
    <d v="2020-02-19T00:00:00"/>
    <s v="Miscellaneous"/>
    <n v="9"/>
    <s v="Manish Sharma"/>
    <s v="Ahmedabad"/>
    <s v="Property / BI"/>
    <x v="0"/>
    <n v="7162.88"/>
    <d v="2019-02-20T00:00:00"/>
    <s v="Brokerage"/>
    <s v="Renewal"/>
    <m/>
    <d v="2020-01-22T00:00:00"/>
  </r>
  <r>
    <s v="Amit Bhargava"/>
    <s v="YB00020403000100"/>
    <s v="Active"/>
    <d v="2019-02-08T00:00:00"/>
    <d v="2020-02-07T00:00:00"/>
    <s v="Fire"/>
    <n v="13"/>
    <s v="Vididt Saha"/>
    <s v="Ahmedabad"/>
    <s v="Property / BI"/>
    <x v="1"/>
    <n v="1569.64"/>
    <d v="2019-02-08T00:00:00"/>
    <s v="Brokerage"/>
    <s v="Inception"/>
    <m/>
    <d v="2020-01-22T00:00:00"/>
  </r>
  <r>
    <s v="Alka Goel"/>
    <s v="31030411/17/10000760"/>
    <s v="Active"/>
    <d v="2018-03-10T00:00:00"/>
    <d v="2019-03-09T00:00:00"/>
    <s v="Fire"/>
    <n v="1"/>
    <s v="Vinay"/>
    <s v="Ahmedabad"/>
    <s v="Property / BI"/>
    <x v="1"/>
    <n v="2340.25"/>
    <d v="2018-03-10T00:00:00"/>
    <s v="Brokerage"/>
    <s v="Inception"/>
    <m/>
    <d v="2020-01-22T00:00:00"/>
  </r>
  <r>
    <s v="Harish Sharma"/>
    <s v="31030/459/1710000154"/>
    <s v="Active"/>
    <d v="2018-03-10T00:00:00"/>
    <d v="2019-03-09T00:00:00"/>
    <s v="Miscellaneous"/>
    <n v="1"/>
    <s v="Vinay"/>
    <s v="Ahmedabad"/>
    <s v="Property / BI"/>
    <x v="1"/>
    <n v="125"/>
    <d v="2018-03-10T00:00:00"/>
    <s v="Brokerage"/>
    <s v="Inception"/>
    <m/>
    <d v="2020-01-22T00:00:00"/>
  </r>
  <r>
    <s v="Gaurav Goel"/>
    <s v="2999/202296981100000"/>
    <s v="Active"/>
    <d v="2018-06-01T00:00:00"/>
    <d v="2019-05-31T00:00:00"/>
    <s v="Liability"/>
    <n v="11"/>
    <s v="Raju Kumar"/>
    <s v="Ahmedabad"/>
    <s v="Liability"/>
    <x v="1"/>
    <n v="100000"/>
    <d v="2018-06-01T00:00:00"/>
    <s v="Brokerage"/>
    <s v="Endorsement"/>
    <m/>
    <d v="2020-01-22T00:00:00"/>
  </r>
  <r>
    <s v="Ravi Naik"/>
    <s v="2999/202296981100000"/>
    <s v="Active"/>
    <d v="2018-06-01T00:00:00"/>
    <d v="2019-05-31T00:00:00"/>
    <s v="Liability"/>
    <n v="11"/>
    <s v="Raju Kumar"/>
    <s v="Ahmedabad"/>
    <s v="Liability"/>
    <x v="1"/>
    <m/>
    <d v="2018-08-03T00:00:00"/>
    <s v="Brokerage "/>
    <s v="Endorsement"/>
    <m/>
    <d v="2020-01-22T00:00:00"/>
  </r>
  <r>
    <s v="Kamlesh Prasad"/>
    <s v="2999202758217600000&quot;"/>
    <s v="Active"/>
    <d v="2019-04-22T00:00:00"/>
    <d v="2020-04-21T00:00:00"/>
    <s v="Liability"/>
    <n v="11"/>
    <s v="Raju Kumar"/>
    <s v="Ahmedabad"/>
    <s v="Liability"/>
    <x v="2"/>
    <n v="60025"/>
    <d v="2019-04-22T00:00:00"/>
    <s v="Brokerage"/>
    <s v="Inception"/>
    <m/>
    <d v="2020-01-22T00:00:00"/>
  </r>
  <r>
    <s v="Nikhil Verma"/>
    <n v="2.9992028732742001E+18"/>
    <s v="Active"/>
    <d v="2019-07-08T00:00:00"/>
    <d v="2020-07-07T00:00:00"/>
    <s v="Liability"/>
    <n v="11"/>
    <s v="Raju Kumar"/>
    <s v="Ahmedabad"/>
    <s v="Liability"/>
    <x v="2"/>
    <n v="60025"/>
    <d v="2019-07-08T00:00:00"/>
    <s v="Brokerage"/>
    <s v="Inception"/>
    <m/>
    <d v="2020-01-22T00:00:00"/>
  </r>
  <r>
    <s v="Vaishali Desai"/>
    <n v="2.9992028733097999E+18"/>
    <s v="Active"/>
    <d v="2019-07-08T00:00:00"/>
    <d v="2020-07-07T00:00:00"/>
    <s v="Liability"/>
    <n v="11"/>
    <s v="Raju Kumar"/>
    <s v="Ahmedabad"/>
    <s v="Liability"/>
    <x v="2"/>
    <n v="60025"/>
    <d v="2019-07-08T00:00:00"/>
    <s v="Brokerage"/>
    <s v="Inception"/>
    <m/>
    <d v="2020-01-22T00:00:00"/>
  </r>
  <r>
    <s v="Atul Naik"/>
    <s v="141100/48/2019/4225"/>
    <s v="Inactive"/>
    <d v="2018-06-29T00:00:00"/>
    <d v="2019-06-28T00:00:00"/>
    <s v="Employee Benefits"/>
    <n v="10"/>
    <s v="Mark"/>
    <s v="Ahmedabad"/>
    <s v="Employee Benefits (EB)"/>
    <x v="0"/>
    <n v="5839.35"/>
    <d v="2018-06-29T00:00:00"/>
    <s v="Brokerage"/>
    <s v="Lapse"/>
    <s v="GMAN â€“ Global Mandate"/>
    <d v="2020-01-22T00:00:00"/>
  </r>
  <r>
    <s v="Meena Bhargava"/>
    <s v="2002/132282540/02/000"/>
    <s v="Active"/>
    <d v="2019-01-01T00:00:00"/>
    <d v="2019-12-31T00:00:00"/>
    <s v="Marine"/>
    <n v="3"/>
    <s v="Animesh Rawat"/>
    <s v="Ahmedabad"/>
    <s v="Global Client Network (GNB Inward)"/>
    <x v="0"/>
    <n v="36833.85"/>
    <d v="2019-01-01T00:00:00"/>
    <s v="Brokerage"/>
    <s v="Renewal"/>
    <m/>
    <d v="2020-01-22T00:00:00"/>
  </r>
  <r>
    <s v="Mona Chopra"/>
    <s v="2018-B0100354-FBG"/>
    <s v="Active"/>
    <d v="2018-07-01T00:00:00"/>
    <d v="2019-06-30T00:00:00"/>
    <s v="Miscellaneous"/>
    <n v="3"/>
    <s v="Animesh Rawat"/>
    <s v="Ahmedabad"/>
    <s v="Global Client Network (GNB Inward)"/>
    <x v="0"/>
    <n v="6268.75"/>
    <d v="2019-06-30T00:00:00"/>
    <s v="Brokerage"/>
    <s v="Inception"/>
    <m/>
    <d v="2020-01-22T00:00:00"/>
  </r>
  <r>
    <s v="Mohit Tiwari"/>
    <s v="2018-F0512344-FRE"/>
    <s v="Active"/>
    <d v="2018-07-01T00:00:00"/>
    <d v="2019-06-30T00:00:00"/>
    <s v="Fire"/>
    <n v="3"/>
    <s v="Animesh Rawat"/>
    <s v="Ahmedabad"/>
    <s v="Global Client Network (GNB Inward)"/>
    <x v="0"/>
    <n v="45473.07"/>
    <d v="2019-06-30T00:00:00"/>
    <s v="Brokerage"/>
    <s v="Inception"/>
    <m/>
    <d v="2020-01-22T00:00:00"/>
  </r>
  <r>
    <s v="Tina Dutta"/>
    <s v="2018-F0512462-FLO"/>
    <s v="Active"/>
    <d v="2018-07-01T00:00:00"/>
    <d v="2019-06-30T00:00:00"/>
    <s v="Miscellaneous"/>
    <n v="3"/>
    <s v="Animesh Rawat"/>
    <s v="Ahmedabad"/>
    <s v="Global Client Network (GNB Inward)"/>
    <x v="0"/>
    <n v="9436.56"/>
    <d v="2019-06-30T00:00:00"/>
    <s v="Brokerage"/>
    <s v="Inception"/>
    <m/>
    <d v="2020-01-22T00:00:00"/>
  </r>
  <r>
    <s v="Hemant Das"/>
    <s v="2018-L0116963-CGL"/>
    <s v="Active"/>
    <d v="2018-07-01T00:00:00"/>
    <d v="2019-06-30T00:00:00"/>
    <s v="Liability"/>
    <n v="3"/>
    <s v="Animesh Rawat"/>
    <s v="Ahmedabad"/>
    <s v="Global Client Network (GNB Inward)"/>
    <x v="0"/>
    <n v="30030.63"/>
    <d v="2019-06-30T00:00:00"/>
    <s v="Brokerage"/>
    <s v="Inception"/>
    <m/>
    <d v="2020-01-22T00:00:00"/>
  </r>
  <r>
    <s v="Sanjana Bhargava"/>
    <s v="2412/2024 4046 0100 000"/>
    <s v="Active"/>
    <d v="2018-09-26T00:00:00"/>
    <d v="2019-09-25T00:00:00"/>
    <s v="Marine"/>
    <n v="1"/>
    <s v="Vinay"/>
    <s v="Ahmedabad"/>
    <s v="Marine"/>
    <x v="2"/>
    <n v="2722.5"/>
    <d v="2018-09-26T00:00:00"/>
    <s v="Brokerage"/>
    <s v="Inception"/>
    <m/>
    <d v="2020-01-22T00:00:00"/>
  </r>
  <r>
    <s v="Kamlesh Trivedi"/>
    <n v="9.1000036171699995E+19"/>
    <s v="Inactive"/>
    <d v="2017-12-12T00:00:00"/>
    <d v="2018-12-11T00:00:00"/>
    <s v="Liability"/>
    <n v="6"/>
    <s v="Ketan Jain"/>
    <s v="Ahmedabad"/>
    <s v="Liability"/>
    <x v="1"/>
    <n v="71875"/>
    <d v="2017-12-12T00:00:00"/>
    <s v="Brokerage"/>
    <s v="Inception"/>
    <m/>
    <d v="2020-01-22T00:00:00"/>
  </r>
  <r>
    <s v="Nikita Tiwari"/>
    <n v="9.1000036181700002E+19"/>
    <s v="Active"/>
    <d v="2018-12-12T00:00:00"/>
    <d v="2019-12-11T00:00:00"/>
    <s v="Liability"/>
    <n v="6"/>
    <s v="Ketan Jain"/>
    <s v="Ahmedabad"/>
    <s v="Liability"/>
    <x v="0"/>
    <n v="62500"/>
    <d v="2018-12-12T00:00:00"/>
    <s v="Brokerage"/>
    <s v="Renewal"/>
    <m/>
    <d v="2020-01-22T00:00:00"/>
  </r>
  <r>
    <s v="Kapil Kapoor"/>
    <n v="304001140"/>
    <s v="Active"/>
    <d v="2018-08-01T00:00:00"/>
    <d v="2019-07-31T00:00:00"/>
    <s v="Liability"/>
    <n v="6"/>
    <s v="Ketan Jain"/>
    <s v="Ahmedabad"/>
    <s v="Liability"/>
    <x v="0"/>
    <n v="84375"/>
    <d v="2018-08-01T00:00:00"/>
    <s v="Brokerage"/>
    <s v="Inception"/>
    <m/>
    <d v="2020-01-22T00:00:00"/>
  </r>
  <r>
    <s v="Harish Rana"/>
    <n v="635003567"/>
    <s v="Inactive"/>
    <d v="2017-12-01T00:00:00"/>
    <d v="2018-11-30T00:00:00"/>
    <s v="Miscellaneous"/>
    <n v="3"/>
    <s v="Animesh Rawat"/>
    <s v="Ahmedabad"/>
    <s v="Global Client Network (GNB Inward)"/>
    <x v="1"/>
    <n v="55107.13"/>
    <d v="2017-12-01T00:00:00"/>
    <s v="Brokerage"/>
    <s v="Inception"/>
    <m/>
    <d v="2020-01-22T00:00:00"/>
  </r>
  <r>
    <s v="Nikhil Pandit"/>
    <s v="0635003567 00"/>
    <s v="Active"/>
    <d v="2018-12-01T00:00:00"/>
    <d v="2019-11-30T00:00:00"/>
    <s v="Miscellaneous"/>
    <n v="12"/>
    <s v="Shivani Sharma"/>
    <s v="Ahmedabad"/>
    <s v="Global Client Network (GNB Inward)"/>
    <x v="0"/>
    <n v="231094.04"/>
    <d v="2018-12-01T00:00:00"/>
    <s v="Brokerage"/>
    <s v="Renewal"/>
    <m/>
    <d v="2020-01-22T00:00:00"/>
  </r>
  <r>
    <s v="Vivek Rana"/>
    <s v="4010/118287210/02/000"/>
    <s v="Active"/>
    <d v="2018-05-25T00:00:00"/>
    <d v="2019-05-24T00:00:00"/>
    <s v="Miscellaneous"/>
    <n v="1"/>
    <s v="Vinay"/>
    <s v="Ahmedabad"/>
    <s v="Liability"/>
    <x v="2"/>
    <n v="943.5"/>
    <d v="2018-05-26T00:00:00"/>
    <s v="Brokerage"/>
    <s v="Inception"/>
    <m/>
    <d v="2020-01-22T00:00:00"/>
  </r>
  <r>
    <s v="Hemant Nair"/>
    <s v="4010/118433486/02/000"/>
    <s v="Active"/>
    <d v="2018-05-25T00:00:00"/>
    <d v="2019-05-24T00:00:00"/>
    <s v="Miscellaneous"/>
    <n v="1"/>
    <s v="Vinay"/>
    <s v="Ahmedabad"/>
    <s v="Liability"/>
    <x v="2"/>
    <n v="2809.13"/>
    <d v="2018-05-25T00:00:00"/>
    <s v="Brokerage"/>
    <s v="Inception"/>
    <m/>
    <d v="2020-01-22T00:00:00"/>
  </r>
  <r>
    <s v="Veena Bhargava"/>
    <s v="4010/118434222/02/000"/>
    <s v="Active"/>
    <d v="2018-05-25T00:00:00"/>
    <d v="2019-05-24T00:00:00"/>
    <s v="Miscellaneous"/>
    <n v="1"/>
    <s v="Vinay"/>
    <s v="Ahmedabad"/>
    <s v="Liability"/>
    <x v="0"/>
    <n v="2809.25"/>
    <d v="2018-05-25T00:00:00"/>
    <s v="Brokerage"/>
    <s v="Inception"/>
    <m/>
    <d v="2020-01-22T00:00:00"/>
  </r>
  <r>
    <s v="Shivam Shah"/>
    <n v="15552994"/>
    <s v="Active"/>
    <d v="2019-12-02T00:00:00"/>
    <d v="2020-12-01T00:00:00"/>
    <s v="Marine"/>
    <n v="2"/>
    <s v="Abhinav Shivam"/>
    <s v="Ahmedabad"/>
    <s v="Marine"/>
    <x v="1"/>
    <n v="20625"/>
    <d v="2019-12-02T00:00:00"/>
    <s v="Brokerage"/>
    <s v="Inception"/>
    <m/>
    <d v="2020-01-22T00:00:00"/>
  </r>
  <r>
    <s v="Bhavna Bhandari"/>
    <n v="9.9000011190100001E+19"/>
    <s v="Active"/>
    <d v="2019-07-29T00:00:00"/>
    <d v="2020-07-28T00:00:00"/>
    <s v="Fire"/>
    <n v="2"/>
    <s v="Abhinav Shivam"/>
    <s v="Ahmedabad"/>
    <s v="Small Medium Enterpries (SME)"/>
    <x v="1"/>
    <n v="32683"/>
    <d v="2019-07-29T00:00:00"/>
    <s v="Brokerage"/>
    <s v="Inception"/>
    <m/>
    <d v="2020-01-22T00:00:00"/>
  </r>
  <r>
    <s v="Tarun Shah"/>
    <n v="9.9000011190100001E+19"/>
    <s v="Active"/>
    <d v="2019-07-29T00:00:00"/>
    <d v="2020-07-28T00:00:00"/>
    <s v="Fire"/>
    <n v="2"/>
    <s v="Abhinav Shivam"/>
    <s v="Ahmedabad"/>
    <s v="Small Medium Enterpries (SME)"/>
    <x v="1"/>
    <n v="84590.55"/>
    <d v="2019-07-29T00:00:00"/>
    <s v="Brokerage"/>
    <s v="Inception"/>
    <m/>
    <d v="2020-01-22T00:00:00"/>
  </r>
  <r>
    <s v="Hemant Chauhan"/>
    <n v="9.9000046190100005E+19"/>
    <s v="Active"/>
    <d v="2019-07-29T00:00:00"/>
    <d v="2020-07-28T00:00:00"/>
    <s v="Miscellaneous"/>
    <n v="2"/>
    <s v="Abhinav Shivam"/>
    <s v="Ahmedabad"/>
    <s v="Small Medium Enterpries (SME)"/>
    <x v="1"/>
    <n v="10547.63"/>
    <d v="2019-07-29T00:00:00"/>
    <s v="Brokerage"/>
    <s v="Inception"/>
    <m/>
    <d v="2020-01-22T00:00:00"/>
  </r>
  <r>
    <s v="Geeta Verma"/>
    <n v="14055133"/>
    <s v="Active"/>
    <d v="2019-07-26T00:00:00"/>
    <d v="2020-07-25T00:00:00"/>
    <s v="Liability"/>
    <n v="2"/>
    <s v="Abhinav Shivam"/>
    <s v="Ahmedabad"/>
    <s v="Liability"/>
    <x v="2"/>
    <n v="63000"/>
    <d v="2019-07-26T00:00:00"/>
    <s v="Brokerage"/>
    <s v="Inception"/>
    <m/>
    <d v="2020-01-22T00:00:00"/>
  </r>
  <r>
    <s v="Ashok Patel"/>
    <n v="2000010048"/>
    <s v="Inactive"/>
    <d v="2018-07-28T00:00:00"/>
    <d v="2019-07-27T00:00:00"/>
    <s v="Miscellaneous"/>
    <n v="8"/>
    <s v="Kumar Jha"/>
    <s v="Ahmedabad"/>
    <s v="Trade Credit &amp;amp; Political Risk"/>
    <x v="0"/>
    <n v="121875"/>
    <d v="2018-07-28T00:00:00"/>
    <s v="Brokerage"/>
    <s v="Endorsement"/>
    <m/>
    <d v="2020-01-22T00:00:00"/>
  </r>
  <r>
    <s v="Gayatri Reddy"/>
    <n v="2000010048"/>
    <s v="Inactive"/>
    <d v="2018-07-28T00:00:00"/>
    <d v="2019-07-27T00:00:00"/>
    <s v="Miscellaneous"/>
    <n v="8"/>
    <s v="Kumar Jha"/>
    <s v="Ahmedabad"/>
    <s v="Trade Credit &amp;amp; Political Risk"/>
    <x v="0"/>
    <n v="8174.5"/>
    <d v="2019-07-18T00:00:00"/>
    <s v="Brokerage "/>
    <s v="Endorsement"/>
    <m/>
    <d v="2020-01-22T00:00:00"/>
  </r>
  <r>
    <s v="Snehal Patel"/>
    <n v="2000010048"/>
    <s v="Active"/>
    <d v="2019-07-28T00:00:00"/>
    <d v="2020-07-27T00:00:00"/>
    <s v="Miscellaneous"/>
    <n v="4"/>
    <s v="Gilbert"/>
    <s v="Ahmedabad"/>
    <s v="Trade Credit &amp;amp; Political Risk"/>
    <x v="0"/>
    <n v="115781.25"/>
    <d v="2019-07-28T00:00:00"/>
    <s v="Brokerage"/>
    <s v="Renewal"/>
    <m/>
    <d v="2020-01-22T00:00:00"/>
  </r>
  <r>
    <s v="Vivek Yadav"/>
    <n v="304001925"/>
    <s v="Inactive"/>
    <d v="2018-04-01T00:00:00"/>
    <d v="2019-03-31T00:00:00"/>
    <s v="Liability"/>
    <n v="3"/>
    <s v="Animesh Rawat"/>
    <s v="Ahmedabad"/>
    <s v="Global Client Network (GNB Inward)"/>
    <x v="0"/>
    <n v="318411.5"/>
    <d v="2019-03-31T00:00:00"/>
    <s v="Brokerage"/>
    <s v="Inception"/>
    <m/>
    <d v="2020-01-22T00:00:00"/>
  </r>
  <r>
    <s v="Kiran Saxena"/>
    <n v="304003763"/>
    <s v="Active"/>
    <d v="2019-04-01T00:00:00"/>
    <d v="2020-03-31T00:00:00"/>
    <s v="Liability"/>
    <n v="3"/>
    <s v="Animesh Rawat"/>
    <s v="Ahmedabad"/>
    <s v="Global Client Network (GNB Inward)"/>
    <x v="0"/>
    <n v="344794.13"/>
    <d v="2019-04-01T00:00:00"/>
    <s v="Brokerage"/>
    <s v="Renewal"/>
    <m/>
    <d v="2020-01-22T00:00:00"/>
  </r>
  <r>
    <s v="Uday Reddy"/>
    <s v="0640002526 02"/>
    <s v="Active"/>
    <d v="2018-07-10T00:00:00"/>
    <d v="2019-07-09T00:00:00"/>
    <s v="Miscellaneous"/>
    <n v="3"/>
    <s v="Animesh Rawat"/>
    <s v="Ahmedabad"/>
    <s v="Global Client Network (GNB Inward)"/>
    <x v="0"/>
    <n v="140949.5"/>
    <d v="2018-07-10T00:00:00"/>
    <s v="Brokerage"/>
    <s v="Inception"/>
    <m/>
    <d v="2020-01-22T00:00:00"/>
  </r>
  <r>
    <s v="Anita Pandit"/>
    <s v="1003/126704810/01/000"/>
    <s v="Inactive"/>
    <d v="2018-01-01T00:00:00"/>
    <d v="2018-12-31T00:00:00"/>
    <s v="Fire"/>
    <n v="3"/>
    <s v="Animesh Rawat"/>
    <s v="Ahmedabad"/>
    <s v="Global Client Network (GNB Inward)"/>
    <x v="0"/>
    <n v="460832.14"/>
    <d v="2018-01-01T00:00:00"/>
    <s v="Brokerage"/>
    <s v="Inception"/>
    <m/>
    <d v="2020-01-22T00:00:00"/>
  </r>
  <r>
    <s v="Hina Malhotra"/>
    <s v="1003/126704810/02/000"/>
    <s v="Active"/>
    <d v="2019-01-01T00:00:00"/>
    <d v="2019-03-31T00:00:00"/>
    <s v="Fire"/>
    <n v="3"/>
    <s v="Animesh Rawat"/>
    <s v="Ahmedabad"/>
    <s v="Global Client Network (GNB Inward)"/>
    <x v="0"/>
    <n v="257590.8"/>
    <d v="2019-01-01T00:00:00"/>
    <s v="Brokerage"/>
    <s v="Endorsement"/>
    <m/>
    <d v="2020-01-22T00:00:00"/>
  </r>
  <r>
    <s v="Alka Patel"/>
    <s v="1003/126704810/02/000"/>
    <s v="Active"/>
    <d v="2019-01-01T00:00:00"/>
    <d v="2019-03-31T00:00:00"/>
    <s v="Fire"/>
    <n v="3"/>
    <s v="Animesh Rawat"/>
    <s v="Ahmedabad"/>
    <s v="Global Client Network (GNB Inward)"/>
    <x v="0"/>
    <n v="-98802.02"/>
    <d v="2019-01-01T00:00:00"/>
    <s v="Brokerage "/>
    <s v="Endorsement"/>
    <m/>
    <d v="2020-01-22T00:00:00"/>
  </r>
  <r>
    <s v="Shruti Roy"/>
    <n v="11988092"/>
    <s v="Active"/>
    <d v="2018-02-07T00:00:00"/>
    <d v="2018-02-12T00:00:00"/>
    <s v="Miscellaneous"/>
    <n v="3"/>
    <s v="Animesh Rawat"/>
    <s v="Ahmedabad"/>
    <s v="Global Client Network (GNB Inward)"/>
    <x v="2"/>
    <n v="338.55"/>
    <d v="2018-02-07T00:00:00"/>
    <s v="Brokerage"/>
    <s v="Inception"/>
    <m/>
    <d v="2020-01-22T00:00:00"/>
  </r>
  <r>
    <s v="Archana Singh"/>
    <n v="2304001082"/>
    <s v="Inactive"/>
    <d v="2018-04-01T00:00:00"/>
    <d v="2019-03-31T00:00:00"/>
    <s v="Liability"/>
    <n v="3"/>
    <s v="Animesh Rawat"/>
    <s v="Ahmedabad"/>
    <s v="Global Client Network (GNB Inward)"/>
    <x v="0"/>
    <n v="40625"/>
    <d v="2019-03-31T00:00:00"/>
    <s v="Brokerage"/>
    <s v="Inception"/>
    <m/>
    <d v="2020-01-22T00:00:00"/>
  </r>
  <r>
    <s v="Mukul Goyal"/>
    <s v="2304001082-01"/>
    <s v="Active"/>
    <d v="2019-04-01T00:00:00"/>
    <d v="2020-03-31T00:00:00"/>
    <s v="Liability"/>
    <n v="3"/>
    <s v="Animesh Rawat"/>
    <s v="Ahmedabad"/>
    <s v="Global Client Network (GNB Inward)"/>
    <x v="0"/>
    <n v="37500"/>
    <d v="2019-04-01T00:00:00"/>
    <s v="Brokerage"/>
    <s v="Renewal"/>
    <m/>
    <d v="2020-01-22T00:00:00"/>
  </r>
  <r>
    <s v="Namita Bajaj"/>
    <n v="2.4142020928135997E+18"/>
    <s v="Inactive"/>
    <d v="2018-01-01T00:00:00"/>
    <d v="2018-12-31T00:00:00"/>
    <s v="Marine"/>
    <n v="3"/>
    <s v="Animesh Rawat"/>
    <s v="Ahmedabad"/>
    <s v="Global Client Network (GNB Inward)"/>
    <x v="0"/>
    <n v="55361.599999999999"/>
    <d v="2018-01-01T00:00:00"/>
    <s v="Brokerage"/>
    <s v="Inception"/>
    <m/>
    <d v="2020-01-22T00:00:00"/>
  </r>
  <r>
    <s v="Nikita Joshi"/>
    <n v="2.4142020928135997E+18"/>
    <s v="Inactive"/>
    <d v="2019-01-01T00:00:00"/>
    <d v="2019-12-31T00:00:00"/>
    <s v="Marine"/>
    <n v="3"/>
    <s v="Animesh Rawat"/>
    <s v="Ahmedabad"/>
    <s v="Global Client Network (GNB Inward)"/>
    <x v="0"/>
    <n v="86723.5"/>
    <d v="2019-01-01T00:00:00"/>
    <s v="Brokerage"/>
    <s v="Renewal"/>
    <m/>
    <d v="2020-01-22T00:00:00"/>
  </r>
  <r>
    <s v="Tejas Shah"/>
    <n v="2.4142020928135997E+18"/>
    <s v="Active"/>
    <d v="2020-01-01T00:00:00"/>
    <d v="2020-03-31T00:00:00"/>
    <s v="Marine"/>
    <n v="3"/>
    <s v="Animesh Rawat"/>
    <s v="Ahmedabad"/>
    <s v="Global Client Network (GNB Inward)"/>
    <x v="0"/>
    <n v="21680.799999999999"/>
    <d v="2020-01-01T00:00:00"/>
    <s v="Brokerage"/>
    <s v="Renewal"/>
    <m/>
    <d v="2020-01-22T00:00:00"/>
  </r>
  <r>
    <s v="Kavita Rao"/>
    <s v="2600010787 00"/>
    <s v="Active"/>
    <d v="2018-07-20T00:00:00"/>
    <d v="2018-10-19T00:00:00"/>
    <s v="Engineering"/>
    <n v="3"/>
    <s v="Animesh Rawat"/>
    <s v="Ahmedabad"/>
    <s v="Global Client Network (GNB Inward)"/>
    <x v="2"/>
    <n v="17419.13"/>
    <d v="2018-07-20T00:00:00"/>
    <s v="Brokerage"/>
    <s v="Inception"/>
    <m/>
    <d v="2020-01-22T00:00:00"/>
  </r>
  <r>
    <s v="Hemant Shah"/>
    <s v="2600011209 00"/>
    <s v="Active"/>
    <d v="2018-09-05T00:00:00"/>
    <d v="2018-12-04T00:00:00"/>
    <s v="Engineering"/>
    <n v="3"/>
    <s v="Animesh Rawat"/>
    <s v="Ahmedabad"/>
    <s v="Global Client Network (GNB Inward)"/>
    <x v="2"/>
    <n v="5165.63"/>
    <d v="2018-09-05T00:00:00"/>
    <s v="Brokerage"/>
    <s v="Inception"/>
    <m/>
    <d v="2020-01-22T00:00:00"/>
  </r>
  <r>
    <s v="Prabhat Naik"/>
    <s v="2600015265 00"/>
    <s v="Active"/>
    <d v="2019-05-23T00:00:00"/>
    <d v="2020-03-31T00:00:00"/>
    <s v="Engineering"/>
    <n v="3"/>
    <s v="Animesh Rawat"/>
    <s v="Ahmedabad"/>
    <s v="Global Client Network (GNB Inward)"/>
    <x v="2"/>
    <n v="9990.15"/>
    <d v="2019-05-23T00:00:00"/>
    <s v="Brokerage"/>
    <s v="Inception"/>
    <m/>
    <d v="2020-01-22T00:00:00"/>
  </r>
  <r>
    <s v="Nikhil Tiwari"/>
    <n v="2640011190"/>
    <s v="Active"/>
    <d v="2018-06-11T00:00:00"/>
    <d v="2018-09-10T00:00:00"/>
    <s v="Engineering"/>
    <n v="3"/>
    <s v="Animesh Rawat"/>
    <s v="Ahmedabad"/>
    <s v="Global Client Network (GNB Inward)"/>
    <x v="2"/>
    <n v="10625"/>
    <d v="2018-06-11T00:00:00"/>
    <s v="Brokerage"/>
    <s v="Inception"/>
    <m/>
    <d v="2020-01-22T00:00:00"/>
  </r>
  <r>
    <s v="Neha Trivedi"/>
    <n v="3.1142011248201999E+18"/>
    <s v="Inactive"/>
    <d v="2017-07-01T00:00:00"/>
    <d v="2018-06-30T00:00:00"/>
    <s v="Miscellaneous"/>
    <n v="3"/>
    <s v="Animesh Rawat"/>
    <s v="Ahmedabad"/>
    <s v="Global Client Network (GNB Inward)"/>
    <x v="0"/>
    <n v="14399.88"/>
    <d v="2017-07-01T00:00:00"/>
    <s v="Brokerage"/>
    <s v="Inception"/>
    <m/>
    <d v="2020-01-22T00:00:00"/>
  </r>
  <r>
    <s v="Shruti Agarwal"/>
    <n v="3.1142011248201999E+18"/>
    <s v="Active"/>
    <d v="2019-07-01T00:00:00"/>
    <d v="2020-06-30T00:00:00"/>
    <s v="Miscellaneous"/>
    <n v="3"/>
    <s v="Animesh Rawat"/>
    <s v="Ahmedabad"/>
    <s v="Global Client Network (GNB Inward)"/>
    <x v="0"/>
    <n v="20165.5"/>
    <d v="2019-07-01T00:00:00"/>
    <s v="Brokerage"/>
    <s v="Renewal"/>
    <m/>
    <d v="2020-01-22T00:00:00"/>
  </r>
  <r>
    <s v="Kiran Desai"/>
    <n v="32119154"/>
    <s v="Active"/>
    <d v="2019-04-01T00:00:00"/>
    <d v="2019-05-31T00:00:00"/>
    <s v="Engineering"/>
    <n v="3"/>
    <s v="Animesh Rawat"/>
    <s v="Ahmedabad"/>
    <s v="Global Client Network (GNB Inward)"/>
    <x v="2"/>
    <n v="11593.27"/>
    <d v="2019-04-01T00:00:00"/>
    <s v="Brokerage"/>
    <s v="Inception"/>
    <m/>
    <d v="2020-01-22T00:00:00"/>
  </r>
  <r>
    <s v="Kanchan Iyer"/>
    <s v="4001/117090005/02/0000"/>
    <s v="Inactive"/>
    <d v="2018-05-01T00:00:00"/>
    <d v="2019-04-30T00:00:00"/>
    <s v="Miscellaneous"/>
    <n v="3"/>
    <s v="Animesh Rawat"/>
    <s v="Ahmedabad"/>
    <s v="Global Client Network (GNB Inward)"/>
    <x v="0"/>
    <n v="1185.9000000000001"/>
    <d v="2018-05-01T00:00:00"/>
    <s v="Brokerage"/>
    <s v="Inception"/>
    <m/>
    <d v="2020-01-22T00:00:00"/>
  </r>
  <r>
    <s v="Bhavna Kapoor"/>
    <s v="4001/117090005/03/000"/>
    <s v="Active"/>
    <d v="2019-05-01T00:00:00"/>
    <d v="2020-04-30T00:00:00"/>
    <s v="Miscellaneous"/>
    <n v="3"/>
    <s v="Animesh Rawat"/>
    <s v="Ahmedabad"/>
    <s v="Global Client Network (GNB Inward)"/>
    <x v="0"/>
    <n v="1005"/>
    <d v="2019-05-01T00:00:00"/>
    <s v="Brokerage"/>
    <s v="Renewal"/>
    <m/>
    <d v="2020-01-22T00:00:00"/>
  </r>
  <r>
    <s v="Ritika Reddy"/>
    <s v="4001/122835467/01"/>
    <s v="Inactive"/>
    <d v="2017-09-28T00:00:00"/>
    <d v="2018-09-27T00:00:00"/>
    <s v="Miscellaneous"/>
    <n v="3"/>
    <s v="Animesh Rawat"/>
    <s v="Ahmedabad"/>
    <s v="Global Client Network (GNB Inward)"/>
    <x v="0"/>
    <n v="1050.3800000000001"/>
    <d v="2017-09-28T00:00:00"/>
    <s v="Brokerage"/>
    <s v="Inception"/>
    <m/>
    <d v="2020-01-22T00:00:00"/>
  </r>
  <r>
    <s v="Suresh Das"/>
    <s v="4001/122835467/02/000"/>
    <s v="Active"/>
    <d v="2018-09-28T00:00:00"/>
    <d v="2019-09-27T00:00:00"/>
    <s v="Miscellaneous"/>
    <n v="3"/>
    <s v="Animesh Rawat"/>
    <s v="Ahmedabad"/>
    <s v="Global Client Network (GNB Inward)"/>
    <x v="0"/>
    <n v="6250"/>
    <d v="2018-09-28T00:00:00"/>
    <s v="Brokerage"/>
    <s v="Endorsement"/>
    <m/>
    <d v="2020-01-22T00:00:00"/>
  </r>
  <r>
    <s v="Shikha Chauhan"/>
    <s v="4001/122835467/02/000"/>
    <s v="Active"/>
    <d v="2018-09-28T00:00:00"/>
    <d v="2019-09-27T00:00:00"/>
    <s v="Miscellaneous"/>
    <n v="3"/>
    <s v="Animesh Rawat"/>
    <s v="Ahmedabad"/>
    <s v="Global Client Network (GNB Inward)"/>
    <x v="0"/>
    <m/>
    <d v="2018-10-29T00:00:00"/>
    <s v="Brokerage "/>
    <s v="Endorsement"/>
    <m/>
    <d v="2020-01-22T00:00:00"/>
  </r>
  <r>
    <s v="Hemant Dutta"/>
    <s v="4001/122835467/02/000 "/>
    <s v="Inactive"/>
    <d v="2018-09-28T00:00:00"/>
    <d v="2019-09-27T00:00:00"/>
    <s v="Miscellaneous"/>
    <n v="3"/>
    <s v="Animesh Rawat"/>
    <s v="Ahmedabad"/>
    <s v="Global Client Network (GNB Inward)"/>
    <x v="0"/>
    <n v="6250"/>
    <d v="2018-09-28T00:00:00"/>
    <s v="Brokerage"/>
    <s v="Renewal"/>
    <m/>
    <d v="2020-01-22T00:00:00"/>
  </r>
  <r>
    <s v="Dinesh Pandey"/>
    <s v="4001/122835467/03/000"/>
    <s v="Active"/>
    <d v="2019-09-28T00:00:00"/>
    <d v="2020-09-27T00:00:00"/>
    <s v="Miscellaneous"/>
    <n v="3"/>
    <s v="Animesh Rawat"/>
    <s v="Ahmedabad"/>
    <s v="Global Client Network (GNB Inward)"/>
    <x v="0"/>
    <n v="18814.25"/>
    <d v="2019-09-28T00:00:00"/>
    <s v="Brokerage"/>
    <s v="Renewal"/>
    <m/>
    <d v="2020-01-22T00:00:00"/>
  </r>
  <r>
    <s v="Archana Iyer"/>
    <s v="4092/147 968178/00/000"/>
    <s v="Inactive"/>
    <d v="2018-04-09T00:00:00"/>
    <d v="2019-03-24T00:00:00"/>
    <s v="Liability"/>
    <n v="3"/>
    <s v="Animesh Rawat"/>
    <s v="Ahmedabad"/>
    <s v="Global Client Network (GNB Inward)"/>
    <x v="0"/>
    <n v="200659.63"/>
    <d v="2019-03-31T00:00:00"/>
    <s v="Brokerage"/>
    <s v="Inception"/>
    <m/>
    <d v="2020-01-22T00:00:00"/>
  </r>
  <r>
    <s v="Deepak Menon"/>
    <s v="4092/151965577/01/000"/>
    <s v="Active"/>
    <d v="2019-04-01T00:00:00"/>
    <d v="2020-03-31T00:00:00"/>
    <s v="Liability"/>
    <n v="3"/>
    <s v="Animesh Rawat"/>
    <s v="Ahmedabad"/>
    <s v="Global Client Network (GNB Inward)"/>
    <x v="0"/>
    <n v="215165"/>
    <d v="2019-04-01T00:00:00"/>
    <s v="Brokerage"/>
    <s v="Renewal"/>
    <m/>
    <d v="2020-01-22T00:00:00"/>
  </r>
  <r>
    <s v="Vivek Gupta"/>
    <n v="44180169"/>
    <s v="Active"/>
    <d v="2018-01-19T00:00:00"/>
    <d v="2019-01-18T00:00:00"/>
    <s v="Miscellaneous"/>
    <n v="3"/>
    <s v="Animesh Rawat"/>
    <s v="Ahmedabad"/>
    <s v="Global Client Network (GNB Inward)"/>
    <x v="2"/>
    <n v="97.35"/>
    <d v="2018-02-07T00:00:00"/>
    <s v="Brokerage"/>
    <s v="Inception"/>
    <m/>
    <d v="2020-01-22T00:00:00"/>
  </r>
  <r>
    <s v="Rina Shah"/>
    <s v="ER00004563000100"/>
    <s v="Active"/>
    <d v="2019-04-30T00:00:00"/>
    <d v="2019-06-30T00:00:00"/>
    <s v="Engineering"/>
    <n v="3"/>
    <s v="Animesh Rawat"/>
    <s v="Ahmedabad"/>
    <s v="Global Client Network (GNB Inward)"/>
    <x v="2"/>
    <n v="3854.23"/>
    <d v="2019-04-30T00:00:00"/>
    <s v="Brokerage"/>
    <s v="Inception"/>
    <m/>
    <d v="2020-01-22T00:00:00"/>
  </r>
  <r>
    <s v="Uday Prasad"/>
    <s v="OG-19-2202-1002-00001901"/>
    <s v="Active"/>
    <d v="2019-02-17T00:00:00"/>
    <d v="2019-02-22T00:00:00"/>
    <s v="Marine"/>
    <n v="3"/>
    <s v="Animesh Rawat"/>
    <s v="Ahmedabad"/>
    <s v="Global Client Network (GNB Inward)"/>
    <x v="0"/>
    <n v="6739.76"/>
    <d v="2019-02-17T00:00:00"/>
    <s v="Brokerage"/>
    <s v="Inception"/>
    <m/>
    <d v="2020-01-22T00:00:00"/>
  </r>
  <r>
    <s v="Nitin Kapoor"/>
    <s v="OG-19-2202-1002-00001981"/>
    <s v="Active"/>
    <d v="2019-03-04T00:00:00"/>
    <d v="2019-03-10T00:00:00"/>
    <s v="Miscellaneous"/>
    <n v="3"/>
    <s v="Animesh Rawat"/>
    <s v="Ahmedabad"/>
    <s v="Global Client Network (GNB Inward)"/>
    <x v="2"/>
    <n v="6739.76"/>
    <d v="2019-03-04T00:00:00"/>
    <s v="Brokerage"/>
    <s v="Inception"/>
    <m/>
    <d v="2020-01-22T00:00:00"/>
  </r>
  <r>
    <s v="Harish Kaul"/>
    <s v="OG-19-2202-4001-00011127"/>
    <s v="Active"/>
    <d v="2019-02-18T00:00:00"/>
    <d v="2019-03-05T00:00:00"/>
    <s v="Miscellaneous"/>
    <n v="3"/>
    <s v="Animesh Rawat"/>
    <s v="Ahmedabad"/>
    <s v="Global Client Network (GNB Inward)"/>
    <x v="2"/>
    <n v="8468.49"/>
    <d v="2019-02-18T00:00:00"/>
    <s v="Brokerage"/>
    <s v="Inception"/>
    <m/>
    <d v="2020-01-22T00:00:00"/>
  </r>
  <r>
    <s v="Neeraj Arora"/>
    <s v="OG-19-2202-4010-00002245"/>
    <s v="Active"/>
    <d v="2019-02-18T00:00:00"/>
    <d v="2019-03-05T00:00:00"/>
    <s v="Miscellaneous"/>
    <n v="3"/>
    <s v="Animesh Rawat"/>
    <s v="Ahmedabad"/>
    <s v="Global Client Network (GNB Inward)"/>
    <x v="2"/>
    <n v="529.13"/>
    <d v="2019-02-18T00:00:00"/>
    <s v="Brokerage"/>
    <s v="Inception"/>
    <m/>
    <d v="2020-01-22T00:00:00"/>
  </r>
  <r>
    <s v="Mukul Kumar"/>
    <s v="'001P000202300000"/>
    <s v="Active"/>
    <d v="2019-04-05T00:00:00"/>
    <d v="2026-04-04T00:00:00"/>
    <s v="Liability"/>
    <n v="1"/>
    <s v="Vinay"/>
    <s v="Ahmedabad"/>
    <s v="Liability"/>
    <x v="2"/>
    <n v="162500"/>
    <d v="2019-04-05T00:00:00"/>
    <s v="Brokerage"/>
    <s v="Inception"/>
    <m/>
    <d v="2020-01-22T00:00:00"/>
  </r>
  <r>
    <s v="Gauri Naik"/>
    <s v="'001P000203500000"/>
    <s v="Active"/>
    <d v="2019-04-18T00:00:00"/>
    <d v="2025-10-17T00:00:00"/>
    <s v="Liability"/>
    <n v="1"/>
    <s v="Vinay"/>
    <s v="Ahmedabad"/>
    <s v="Liability"/>
    <x v="2"/>
    <n v="250000"/>
    <d v="2019-04-18T00:00:00"/>
    <s v="Brokerage"/>
    <s v="Inception"/>
    <m/>
    <d v="2020-01-22T00:00:00"/>
  </r>
  <r>
    <s v="Harish Menon"/>
    <s v="111200/11/2018/98"/>
    <s v="Inactive"/>
    <d v="2017-08-02T00:00:00"/>
    <d v="2018-08-01T00:00:00"/>
    <s v="Fire"/>
    <n v="1"/>
    <s v="Vinay"/>
    <s v="Ahmedabad"/>
    <s v="Construction, Power &amp; Infrastructure"/>
    <x v="2"/>
    <n v="78837.100000000006"/>
    <d v="2017-08-02T00:00:00"/>
    <s v="Brokerage"/>
    <s v="Lapse"/>
    <s v="DRCT - Direct"/>
    <d v="2020-01-22T00:00:00"/>
  </r>
  <r>
    <s v="Mohit Gupta"/>
    <n v="1.1120036171000001E+19"/>
    <s v="Inactive"/>
    <d v="2018-03-23T00:00:00"/>
    <d v="2019-03-22T00:00:00"/>
    <s v="Liability"/>
    <n v="1"/>
    <s v="Vinay"/>
    <s v="Ahmedabad"/>
    <s v="Liability"/>
    <x v="0"/>
    <n v="21875"/>
    <d v="2018-03-23T00:00:00"/>
    <s v="Brokerage"/>
    <s v="Inception"/>
    <m/>
    <d v="2020-01-22T00:00:00"/>
  </r>
  <r>
    <s v="Amit Arora"/>
    <s v="'11120036181000000012"/>
    <s v="Active"/>
    <d v="2019-03-23T00:00:00"/>
    <d v="2020-03-22T00:00:00"/>
    <s v="Liability"/>
    <n v="1"/>
    <s v="Vinay"/>
    <s v="Ahmedabad"/>
    <s v="Liability"/>
    <x v="0"/>
    <n v="59322"/>
    <d v="2019-04-22T00:00:00"/>
    <s v="Brokerage"/>
    <s v="Renewal"/>
    <m/>
    <d v="2020-01-22T00:00:00"/>
  </r>
  <r>
    <s v="Nikita Pandit"/>
    <s v="'11120044170300000014"/>
    <s v="Active"/>
    <d v="2018-03-23T00:00:00"/>
    <d v="2020-09-22T00:00:00"/>
    <s v="Engineering"/>
    <n v="1"/>
    <s v="Vinay"/>
    <s v="Ahmedabad"/>
    <s v="Construction, Power &amp; Infrastructure"/>
    <x v="2"/>
    <n v="26763.4"/>
    <d v="2019-12-23T00:00:00"/>
    <s v="Brokerage"/>
    <s v="Inception"/>
    <m/>
    <d v="2020-01-22T00:00:00"/>
  </r>
  <r>
    <s v="Vikas Gupta"/>
    <s v="'11120044170300000014"/>
    <s v="Active"/>
    <d v="2018-03-23T00:00:00"/>
    <d v="2020-09-22T00:00:00"/>
    <s v="Engineering"/>
    <n v="1"/>
    <s v="Vinay"/>
    <s v="Ahmedabad"/>
    <s v="Construction, Power &amp; Infrastructure"/>
    <x v="2"/>
    <n v="26763.4"/>
    <d v="2020-03-23T00:00:00"/>
    <s v="Brokerage"/>
    <s v="Inception"/>
    <m/>
    <d v="2020-01-22T00:00:00"/>
  </r>
  <r>
    <s v="Kamlesh Pillai"/>
    <s v="'11120044170300000014"/>
    <s v="Active"/>
    <d v="2018-03-23T00:00:00"/>
    <d v="2020-09-22T00:00:00"/>
    <s v="Engineering"/>
    <n v="1"/>
    <s v="Vinay"/>
    <s v="Ahmedabad"/>
    <s v="Construction, Power &amp; Infrastructure"/>
    <x v="2"/>
    <n v="26763.439999999999"/>
    <d v="2018-06-23T00:00:00"/>
    <s v="Brokerage"/>
    <s v="Inception"/>
    <m/>
    <d v="2020-01-22T00:00:00"/>
  </r>
  <r>
    <s v="Umesh Agarwal"/>
    <s v="'11120044170300000014"/>
    <s v="Active"/>
    <d v="2018-03-23T00:00:00"/>
    <d v="2020-09-22T00:00:00"/>
    <s v="Engineering"/>
    <n v="1"/>
    <s v="Vinay"/>
    <s v="Ahmedabad"/>
    <s v="Construction, Power &amp; Infrastructure"/>
    <x v="2"/>
    <n v="26763.439999999999"/>
    <d v="2018-09-23T00:00:00"/>
    <s v="Brokerage"/>
    <s v="Inception"/>
    <m/>
    <d v="2020-01-22T00:00:00"/>
  </r>
  <r>
    <s v="Ankur Gandhi"/>
    <s v="'11120044170300000014"/>
    <s v="Active"/>
    <d v="2018-03-23T00:00:00"/>
    <d v="2020-09-22T00:00:00"/>
    <s v="Engineering"/>
    <n v="1"/>
    <s v="Vinay"/>
    <s v="Ahmedabad"/>
    <s v="Construction, Power &amp; Infrastructure"/>
    <x v="2"/>
    <n v="26763.439999999999"/>
    <d v="2018-12-23T00:00:00"/>
    <s v="Brokerage"/>
    <s v="Inception"/>
    <m/>
    <d v="2020-01-22T00:00:00"/>
  </r>
  <r>
    <s v="Dinesh Kaul"/>
    <s v="'11120044170300000014"/>
    <s v="Active"/>
    <d v="2018-03-23T00:00:00"/>
    <d v="2020-09-22T00:00:00"/>
    <s v="Engineering"/>
    <n v="1"/>
    <s v="Vinay"/>
    <s v="Ahmedabad"/>
    <s v="Construction, Power &amp; Infrastructure"/>
    <x v="2"/>
    <n v="26763.439999999999"/>
    <d v="2019-03-23T00:00:00"/>
    <s v="Brokerage"/>
    <s v="Inception"/>
    <m/>
    <d v="2020-01-22T00:00:00"/>
  </r>
  <r>
    <s v="Ankur Naik"/>
    <s v="'11120044170300000014"/>
    <s v="Active"/>
    <d v="2018-03-23T00:00:00"/>
    <d v="2020-09-22T00:00:00"/>
    <s v="Engineering"/>
    <n v="1"/>
    <s v="Vinay"/>
    <s v="Ahmedabad"/>
    <s v="Construction, Power &amp; Infrastructure"/>
    <x v="2"/>
    <n v="26763.439999999999"/>
    <d v="2019-06-23T00:00:00"/>
    <s v="Brokerage"/>
    <s v="Inception"/>
    <m/>
    <d v="2020-01-22T00:00:00"/>
  </r>
  <r>
    <s v="XYZ"/>
    <s v="'11120044170300000014"/>
    <s v="Active"/>
    <d v="2018-03-23T00:00:00"/>
    <d v="2020-09-22T00:00:00"/>
    <s v="Engineering"/>
    <n v="1"/>
    <s v="Vinay"/>
    <s v="Ahmedabad"/>
    <s v="Construction, Power &amp; Infrastructure"/>
    <x v="2"/>
    <n v="26763.439999999999"/>
    <d v="2019-09-23T00:00:00"/>
    <s v="Brokerage"/>
    <s v="Inception"/>
    <m/>
    <d v="2020-01-22T00:00:00"/>
  </r>
  <r>
    <s v="XYZ"/>
    <s v="'11120044170300000014"/>
    <s v="Active"/>
    <d v="2018-03-23T00:00:00"/>
    <d v="2020-09-22T00:00:00"/>
    <s v="Engineering"/>
    <n v="1"/>
    <s v="Vinay"/>
    <s v="Ahmedabad"/>
    <s v="Construction, Power &amp; Infrastructure"/>
    <x v="2"/>
    <n v="39440.839999999997"/>
    <d v="2018-03-23T00:00:00"/>
    <s v="Brokerage"/>
    <s v="Inception"/>
    <m/>
    <d v="2020-01-22T00:00:00"/>
  </r>
  <r>
    <s v="XYZ"/>
    <s v="11120044180300000010'"/>
    <s v="Active"/>
    <d v="2018-08-09T00:00:00"/>
    <d v="2021-08-08T00:00:00"/>
    <s v="Engineering"/>
    <n v="1"/>
    <s v="Vinay"/>
    <s v="Ahmedabad"/>
    <s v="Construction, Power &amp; Infrastructure"/>
    <x v="2"/>
    <n v="14274.76"/>
    <d v="2019-11-09T00:00:00"/>
    <s v="Brokerage"/>
    <s v="Inception"/>
    <m/>
    <d v="2020-01-22T00:00:00"/>
  </r>
  <r>
    <s v="XYZ"/>
    <s v="11120044180300000010'"/>
    <s v="Active"/>
    <d v="2018-08-09T00:00:00"/>
    <d v="2021-08-08T00:00:00"/>
    <s v="Engineering"/>
    <n v="1"/>
    <s v="Vinay"/>
    <s v="Ahmedabad"/>
    <s v="Construction, Power &amp; Infrastructure"/>
    <x v="2"/>
    <n v="14274.76"/>
    <d v="2020-02-09T00:00:00"/>
    <s v="Brokerage"/>
    <s v="Inception"/>
    <m/>
    <d v="2020-01-22T00:00:00"/>
  </r>
  <r>
    <s v="XYZ"/>
    <s v="11120044180300000010'"/>
    <s v="Active"/>
    <d v="2018-08-09T00:00:00"/>
    <d v="2021-08-08T00:00:00"/>
    <s v="Engineering"/>
    <n v="1"/>
    <s v="Vinay"/>
    <s v="Ahmedabad"/>
    <s v="Construction, Power &amp; Infrastructure"/>
    <x v="2"/>
    <n v="14274.76"/>
    <d v="2020-05-09T00:00:00"/>
    <s v="Brokerage"/>
    <s v="Inception"/>
    <m/>
    <d v="2020-01-22T00:00:00"/>
  </r>
  <r>
    <s v="XYZ"/>
    <s v="11120044180300000010'"/>
    <s v="Active"/>
    <d v="2018-08-09T00:00:00"/>
    <d v="2021-08-08T00:00:00"/>
    <s v="Engineering"/>
    <n v="1"/>
    <s v="Vinay"/>
    <s v="Ahmedabad"/>
    <s v="Construction, Power &amp; Infrastructure"/>
    <x v="2"/>
    <n v="14274.76"/>
    <d v="2020-08-09T00:00:00"/>
    <s v="Brokerage"/>
    <s v="Inception"/>
    <m/>
    <d v="2020-01-22T00:00:00"/>
  </r>
  <r>
    <s v="XYZ"/>
    <s v="11120044180300000010'"/>
    <s v="Active"/>
    <d v="2018-08-09T00:00:00"/>
    <d v="2021-08-08T00:00:00"/>
    <s v="Engineering"/>
    <n v="1"/>
    <s v="Vinay"/>
    <s v="Ahmedabad"/>
    <s v="Construction, Power &amp; Infrastructure"/>
    <x v="2"/>
    <n v="14274.76"/>
    <d v="2020-11-09T00:00:00"/>
    <s v="Brokerage"/>
    <s v="Inception"/>
    <m/>
    <d v="2020-01-22T00:00:00"/>
  </r>
  <r>
    <s v="XYZ"/>
    <s v="11120044180300000010'"/>
    <s v="Active"/>
    <d v="2018-08-09T00:00:00"/>
    <d v="2021-08-08T00:00:00"/>
    <s v="Engineering"/>
    <n v="1"/>
    <s v="Vinay"/>
    <s v="Ahmedabad"/>
    <s v="Construction, Power &amp; Infrastructure"/>
    <x v="2"/>
    <n v="14274.76"/>
    <d v="2021-02-09T00:00:00"/>
    <s v="Brokerage"/>
    <s v="Inception"/>
    <m/>
    <d v="2020-01-22T00:00:00"/>
  </r>
  <r>
    <s v="XYZ"/>
    <s v="11120044180300000010'"/>
    <s v="Active"/>
    <d v="2018-08-09T00:00:00"/>
    <d v="2021-08-08T00:00:00"/>
    <s v="Engineering"/>
    <n v="1"/>
    <s v="Vinay"/>
    <s v="Ahmedabad"/>
    <s v="Construction, Power &amp; Infrastructure"/>
    <x v="2"/>
    <n v="14274.76"/>
    <d v="2019-02-09T00:00:00"/>
    <s v="Brokerage"/>
    <s v="Inception"/>
    <m/>
    <d v="2020-01-22T00:00:00"/>
  </r>
  <r>
    <s v="XYZ"/>
    <s v="11120044180300000010'"/>
    <s v="Active"/>
    <d v="2018-08-09T00:00:00"/>
    <d v="2021-08-08T00:00:00"/>
    <s v="Engineering"/>
    <n v="1"/>
    <s v="Vinay"/>
    <s v="Ahmedabad"/>
    <s v="Construction, Power &amp; Infrastructure"/>
    <x v="2"/>
    <n v="14274.76"/>
    <d v="2019-05-09T00:00:00"/>
    <s v="Brokerage"/>
    <s v="Inception"/>
    <m/>
    <d v="2020-01-22T00:00:00"/>
  </r>
  <r>
    <s v="XYZ"/>
    <s v="11120044180300000010'"/>
    <s v="Active"/>
    <d v="2018-08-09T00:00:00"/>
    <d v="2021-08-08T00:00:00"/>
    <s v="Engineering"/>
    <n v="1"/>
    <s v="Vinay"/>
    <s v="Ahmedabad"/>
    <s v="Construction, Power &amp; Infrastructure"/>
    <x v="2"/>
    <n v="14274.76"/>
    <d v="2019-08-09T00:00:00"/>
    <s v="Brokerage"/>
    <s v="Inception"/>
    <m/>
    <d v="2020-01-22T00:00:00"/>
  </r>
  <r>
    <s v="XYZ"/>
    <s v="11120044180300000010'"/>
    <s v="Active"/>
    <d v="2018-08-09T00:00:00"/>
    <d v="2021-08-08T00:00:00"/>
    <s v="Engineering"/>
    <n v="1"/>
    <s v="Vinay"/>
    <s v="Ahmedabad"/>
    <s v="Construction, Power &amp; Infrastructure"/>
    <x v="2"/>
    <n v="14274.8"/>
    <d v="2018-11-09T00:00:00"/>
    <s v="Brokerage"/>
    <s v="Inception"/>
    <m/>
    <d v="2020-01-22T00:00:00"/>
  </r>
  <r>
    <s v="XYZ"/>
    <s v="11120044180300000010'"/>
    <s v="Active"/>
    <d v="2018-08-09T00:00:00"/>
    <d v="2021-08-08T00:00:00"/>
    <s v="Engineering"/>
    <n v="1"/>
    <s v="Vinay"/>
    <s v="Ahmedabad"/>
    <s v="Construction, Power &amp; Infrastructure"/>
    <x v="2"/>
    <n v="22539.08"/>
    <d v="2018-08-09T00:00:00"/>
    <s v="Brokerage"/>
    <s v="Inception"/>
    <m/>
    <d v="2020-01-22T00:00:00"/>
  </r>
  <r>
    <s v="XYZ"/>
    <s v="'11120044180300000011"/>
    <s v="Active"/>
    <d v="2018-12-13T00:00:00"/>
    <d v="2021-06-12T00:00:00"/>
    <s v="Engineering"/>
    <n v="1"/>
    <s v="Vinay"/>
    <s v="Ahmedabad"/>
    <s v="Construction, Power &amp; Infrastructure"/>
    <x v="2"/>
    <n v="24072.23"/>
    <d v="2019-12-13T00:00:00"/>
    <s v="Brokerage"/>
    <s v="Inception"/>
    <m/>
    <d v="2020-01-22T00:00:00"/>
  </r>
  <r>
    <s v="XYZ"/>
    <s v="'11120044180300000011"/>
    <s v="Active"/>
    <d v="2018-12-13T00:00:00"/>
    <d v="2021-06-12T00:00:00"/>
    <s v="Engineering"/>
    <n v="1"/>
    <s v="Vinay"/>
    <s v="Ahmedabad"/>
    <s v="Construction, Power &amp; Infrastructure"/>
    <x v="2"/>
    <n v="24072.23"/>
    <d v="2020-03-13T00:00:00"/>
    <s v="Brokerage"/>
    <s v="Inception"/>
    <m/>
    <d v="2020-01-22T00:00:00"/>
  </r>
  <r>
    <s v="XYZ"/>
    <s v="'11120044180300000011"/>
    <s v="Active"/>
    <d v="2018-12-13T00:00:00"/>
    <d v="2021-06-12T00:00:00"/>
    <s v="Engineering"/>
    <n v="1"/>
    <s v="Vinay"/>
    <s v="Ahmedabad"/>
    <s v="Construction, Power &amp; Infrastructure"/>
    <x v="2"/>
    <n v="24072.23"/>
    <d v="2020-06-13T00:00:00"/>
    <s v="Brokerage"/>
    <s v="Inception"/>
    <m/>
    <d v="2020-01-22T00:00:00"/>
  </r>
  <r>
    <s v="XYZ"/>
    <s v="'11120044180300000011"/>
    <s v="Active"/>
    <d v="2018-12-13T00:00:00"/>
    <d v="2021-06-12T00:00:00"/>
    <s v="Engineering"/>
    <n v="1"/>
    <s v="Vinay"/>
    <s v="Ahmedabad"/>
    <s v="Construction, Power &amp; Infrastructure"/>
    <x v="2"/>
    <n v="24072.23"/>
    <d v="2020-09-13T00:00:00"/>
    <s v="Brokerage"/>
    <s v="Inception"/>
    <m/>
    <d v="2020-01-22T00:00:00"/>
  </r>
  <r>
    <s v="XYZ"/>
    <s v="'11120044180300000011"/>
    <s v="Active"/>
    <d v="2018-12-13T00:00:00"/>
    <d v="2021-06-12T00:00:00"/>
    <s v="Engineering"/>
    <n v="1"/>
    <s v="Vinay"/>
    <s v="Ahmedabad"/>
    <s v="Construction, Power &amp; Infrastructure"/>
    <x v="2"/>
    <n v="24072.23"/>
    <d v="2020-12-13T00:00:00"/>
    <s v="Brokerage"/>
    <s v="Inception"/>
    <m/>
    <d v="2020-01-22T00:00:00"/>
  </r>
  <r>
    <s v="XYZ"/>
    <s v="'11120044180300000011"/>
    <s v="Active"/>
    <d v="2018-12-13T00:00:00"/>
    <d v="2021-06-12T00:00:00"/>
    <s v="Engineering"/>
    <n v="1"/>
    <s v="Vinay"/>
    <s v="Ahmedabad"/>
    <s v="Construction, Power &amp; Infrastructure"/>
    <x v="2"/>
    <n v="24072.23"/>
    <d v="2019-06-13T00:00:00"/>
    <s v="Brokerage"/>
    <s v="Inception"/>
    <m/>
    <d v="2020-01-22T00:00:00"/>
  </r>
  <r>
    <s v="XYZ"/>
    <s v="'11120044180300000011"/>
    <s v="Active"/>
    <d v="2018-12-13T00:00:00"/>
    <d v="2021-06-12T00:00:00"/>
    <s v="Engineering"/>
    <n v="1"/>
    <s v="Vinay"/>
    <s v="Ahmedabad"/>
    <s v="Construction, Power &amp; Infrastructure"/>
    <x v="2"/>
    <n v="24072.23"/>
    <d v="2019-09-13T00:00:00"/>
    <s v="Brokerage"/>
    <s v="Inception"/>
    <m/>
    <d v="2020-01-22T00:00:00"/>
  </r>
  <r>
    <s v="XYZ"/>
    <s v="'11120044180300000011"/>
    <s v="Active"/>
    <d v="2018-12-13T00:00:00"/>
    <d v="2021-06-12T00:00:00"/>
    <s v="Engineering"/>
    <n v="1"/>
    <s v="Vinay"/>
    <s v="Ahmedabad"/>
    <s v="Construction, Power &amp; Infrastructure"/>
    <x v="2"/>
    <n v="24072.26"/>
    <d v="2019-03-13T00:00:00"/>
    <s v="Brokerage"/>
    <s v="Inception"/>
    <m/>
    <d v="2020-01-22T00:00:00"/>
  </r>
  <r>
    <s v="XYZ"/>
    <s v="'11120044180300000011"/>
    <s v="Active"/>
    <d v="2018-12-13T00:00:00"/>
    <d v="2021-06-12T00:00:00"/>
    <s v="Engineering"/>
    <n v="1"/>
    <s v="Vinay"/>
    <s v="Ahmedabad"/>
    <s v="Construction, Power &amp; Infrastructure"/>
    <x v="2"/>
    <n v="35521.53"/>
    <d v="2018-12-13T00:00:00"/>
    <s v="Brokerage"/>
    <s v="Inception"/>
    <m/>
    <d v="2020-01-22T00:00:00"/>
  </r>
  <r>
    <s v="XYZ"/>
    <s v="'11120044180300000012"/>
    <s v="Active"/>
    <d v="2018-12-11T00:00:00"/>
    <d v="2021-06-10T00:00:00"/>
    <s v="Engineering"/>
    <n v="1"/>
    <s v="Vinay"/>
    <s v="Ahmedabad"/>
    <s v="Construction, Power &amp; Infrastructure"/>
    <x v="2"/>
    <n v="31816.79"/>
    <d v="2019-12-11T00:00:00"/>
    <s v="Brokerage"/>
    <s v="Inception"/>
    <m/>
    <d v="2020-01-22T00:00:00"/>
  </r>
  <r>
    <s v="XYZ"/>
    <s v="'11120044180300000012"/>
    <s v="Active"/>
    <d v="2018-12-11T00:00:00"/>
    <d v="2021-06-10T00:00:00"/>
    <s v="Engineering"/>
    <n v="1"/>
    <s v="Vinay"/>
    <s v="Ahmedabad"/>
    <s v="Construction, Power &amp; Infrastructure"/>
    <x v="2"/>
    <n v="31816.79"/>
    <d v="2020-03-11T00:00:00"/>
    <s v="Brokerage"/>
    <s v="Inception"/>
    <m/>
    <d v="2020-01-22T00:00:00"/>
  </r>
  <r>
    <s v="XYZ"/>
    <s v="'11120044180300000012"/>
    <s v="Active"/>
    <d v="2018-12-11T00:00:00"/>
    <d v="2021-06-10T00:00:00"/>
    <s v="Engineering"/>
    <n v="1"/>
    <s v="Vinay"/>
    <s v="Ahmedabad"/>
    <s v="Construction, Power &amp; Infrastructure"/>
    <x v="2"/>
    <n v="31816.79"/>
    <d v="2020-06-11T00:00:00"/>
    <s v="Brokerage"/>
    <s v="Inception"/>
    <m/>
    <d v="2020-01-22T00:00:00"/>
  </r>
  <r>
    <s v="XYZ"/>
    <s v="'11120044180300000012"/>
    <s v="Active"/>
    <d v="2018-12-11T00:00:00"/>
    <d v="2021-06-10T00:00:00"/>
    <s v="Engineering"/>
    <n v="1"/>
    <s v="Vinay"/>
    <s v="Ahmedabad"/>
    <s v="Construction, Power &amp; Infrastructure"/>
    <x v="2"/>
    <n v="31816.79"/>
    <d v="2020-09-11T00:00:00"/>
    <s v="Brokerage"/>
    <s v="Inception"/>
    <m/>
    <d v="2020-01-22T00:00:00"/>
  </r>
  <r>
    <s v="XYZ"/>
    <s v="'11120044180300000012"/>
    <s v="Active"/>
    <d v="2018-12-11T00:00:00"/>
    <d v="2021-06-10T00:00:00"/>
    <s v="Engineering"/>
    <n v="1"/>
    <s v="Vinay"/>
    <s v="Ahmedabad"/>
    <s v="Construction, Power &amp; Infrastructure"/>
    <x v="2"/>
    <n v="31816.79"/>
    <d v="2020-12-11T00:00:00"/>
    <s v="Brokerage"/>
    <s v="Inception"/>
    <m/>
    <d v="2020-01-22T00:00:00"/>
  </r>
  <r>
    <s v="XYZ"/>
    <s v="'11120044180300000012"/>
    <s v="Active"/>
    <d v="2018-12-11T00:00:00"/>
    <d v="2021-06-10T00:00:00"/>
    <s v="Engineering"/>
    <n v="1"/>
    <s v="Vinay"/>
    <s v="Ahmedabad"/>
    <s v="Construction, Power &amp; Infrastructure"/>
    <x v="2"/>
    <n v="31816.79"/>
    <d v="2019-09-11T00:00:00"/>
    <s v="Brokerage"/>
    <s v="Inception"/>
    <m/>
    <d v="2020-01-22T00:00:00"/>
  </r>
  <r>
    <s v="XYZ"/>
    <s v="'11120044180300000012"/>
    <s v="Active"/>
    <d v="2018-12-11T00:00:00"/>
    <d v="2021-06-10T00:00:00"/>
    <s v="Engineering"/>
    <n v="1"/>
    <s v="Vinay"/>
    <s v="Ahmedabad"/>
    <s v="Construction, Power &amp; Infrastructure"/>
    <x v="2"/>
    <n v="31816.83"/>
    <d v="2019-03-11T00:00:00"/>
    <s v="Brokerage"/>
    <s v="Inception"/>
    <m/>
    <d v="2020-01-22T00:00:00"/>
  </r>
  <r>
    <s v="XYZ"/>
    <s v="'11120044180300000012"/>
    <s v="Active"/>
    <d v="2018-12-11T00:00:00"/>
    <d v="2021-06-10T00:00:00"/>
    <s v="Engineering"/>
    <n v="1"/>
    <s v="Vinay"/>
    <s v="Ahmedabad"/>
    <s v="Construction, Power &amp; Infrastructure"/>
    <x v="2"/>
    <n v="31816.83"/>
    <d v="2019-06-11T00:00:00"/>
    <s v="Brokerage"/>
    <s v="Inception"/>
    <m/>
    <d v="2020-01-22T00:00:00"/>
  </r>
  <r>
    <s v="XYZ"/>
    <s v="'11120044180300000012"/>
    <s v="Active"/>
    <d v="2018-12-11T00:00:00"/>
    <d v="2021-06-10T00:00:00"/>
    <s v="Engineering"/>
    <n v="1"/>
    <s v="Vinay"/>
    <s v="Ahmedabad"/>
    <s v="Construction, Power &amp; Infrastructure"/>
    <x v="2"/>
    <n v="46888.34"/>
    <d v="2018-12-11T00:00:00"/>
    <s v="Brokerage"/>
    <s v="Inception"/>
    <m/>
    <d v="2020-01-22T00:00:00"/>
  </r>
  <r>
    <s v="XYZ"/>
    <s v="'11120044180800000002"/>
    <s v="Active"/>
    <d v="2018-07-14T00:00:00"/>
    <d v="2022-01-13T00:00:00"/>
    <s v="Engineering"/>
    <n v="1"/>
    <s v="Vinay"/>
    <s v="Ahmedabad"/>
    <s v="Construction, Power &amp; Infrastructure"/>
    <x v="2"/>
    <n v="5712.04"/>
    <d v="2019-10-14T00:00:00"/>
    <s v="Brokerage"/>
    <s v="Inception"/>
    <m/>
    <d v="2020-01-22T00:00:00"/>
  </r>
  <r>
    <s v="XYZ"/>
    <s v="'11120044180800000002"/>
    <s v="Active"/>
    <d v="2018-07-14T00:00:00"/>
    <d v="2022-01-13T00:00:00"/>
    <s v="Engineering"/>
    <n v="1"/>
    <s v="Vinay"/>
    <s v="Ahmedabad"/>
    <s v="Construction, Power &amp; Infrastructure"/>
    <x v="2"/>
    <n v="5712.04"/>
    <d v="2020-01-14T00:00:00"/>
    <s v="Brokerage"/>
    <s v="Inception"/>
    <m/>
    <d v="2020-01-22T00:00:00"/>
  </r>
  <r>
    <s v="XYZ"/>
    <s v="'11120044180800000002"/>
    <s v="Active"/>
    <d v="2018-07-14T00:00:00"/>
    <d v="2022-01-13T00:00:00"/>
    <s v="Engineering"/>
    <n v="1"/>
    <s v="Vinay"/>
    <s v="Ahmedabad"/>
    <s v="Construction, Power &amp; Infrastructure"/>
    <x v="2"/>
    <n v="5712.04"/>
    <d v="2020-04-14T00:00:00"/>
    <s v="Brokerage"/>
    <s v="Inception"/>
    <m/>
    <d v="2020-01-22T00:00:00"/>
  </r>
  <r>
    <s v="XYZ"/>
    <s v="'11120044180800000002"/>
    <s v="Active"/>
    <d v="2018-07-14T00:00:00"/>
    <d v="2022-01-13T00:00:00"/>
    <s v="Engineering"/>
    <n v="1"/>
    <s v="Vinay"/>
    <s v="Ahmedabad"/>
    <s v="Construction, Power &amp; Infrastructure"/>
    <x v="2"/>
    <n v="5712.04"/>
    <d v="2020-07-14T00:00:00"/>
    <s v="Brokerage"/>
    <s v="Inception"/>
    <m/>
    <d v="2020-01-22T00:00:00"/>
  </r>
  <r>
    <s v="XYZ"/>
    <s v="'11120044180800000002"/>
    <s v="Active"/>
    <d v="2018-07-14T00:00:00"/>
    <d v="2022-01-13T00:00:00"/>
    <s v="Engineering"/>
    <n v="1"/>
    <s v="Vinay"/>
    <s v="Ahmedabad"/>
    <s v="Construction, Power &amp; Infrastructure"/>
    <x v="2"/>
    <n v="5712.04"/>
    <d v="2020-10-14T00:00:00"/>
    <s v="Brokerage"/>
    <s v="Inception"/>
    <m/>
    <d v="2020-01-22T00:00:00"/>
  </r>
  <r>
    <s v="XYZ"/>
    <s v="'11120044180800000002"/>
    <s v="Active"/>
    <d v="2018-07-14T00:00:00"/>
    <d v="2022-01-13T00:00:00"/>
    <s v="Engineering"/>
    <n v="1"/>
    <s v="Vinay"/>
    <s v="Ahmedabad"/>
    <s v="Construction, Power &amp; Infrastructure"/>
    <x v="2"/>
    <n v="5712.04"/>
    <d v="2021-01-14T00:00:00"/>
    <s v="Brokerage"/>
    <s v="Inception"/>
    <m/>
    <d v="2020-01-22T00:00:00"/>
  </r>
  <r>
    <s v="XYZ"/>
    <s v="'11120044180800000002"/>
    <s v="Active"/>
    <d v="2018-07-14T00:00:00"/>
    <d v="2022-01-13T00:00:00"/>
    <s v="Engineering"/>
    <n v="1"/>
    <s v="Vinay"/>
    <s v="Ahmedabad"/>
    <s v="Construction, Power &amp; Infrastructure"/>
    <x v="2"/>
    <n v="5712.04"/>
    <d v="2021-04-14T00:00:00"/>
    <s v="Brokerage"/>
    <s v="Inception"/>
    <m/>
    <d v="2020-01-22T00:00:00"/>
  </r>
  <r>
    <s v="XYZ"/>
    <s v="'11120044180800000002"/>
    <s v="Active"/>
    <d v="2018-07-14T00:00:00"/>
    <d v="2022-01-13T00:00:00"/>
    <s v="Engineering"/>
    <n v="1"/>
    <s v="Vinay"/>
    <s v="Ahmedabad"/>
    <s v="Construction, Power &amp; Infrastructure"/>
    <x v="2"/>
    <n v="5712.04"/>
    <d v="2021-07-14T00:00:00"/>
    <s v="Brokerage"/>
    <s v="Inception"/>
    <m/>
    <d v="2020-01-22T00:00:00"/>
  </r>
  <r>
    <s v="XYZ"/>
    <s v="'11120044180800000002"/>
    <s v="Active"/>
    <d v="2018-07-14T00:00:00"/>
    <d v="2022-01-13T00:00:00"/>
    <s v="Engineering"/>
    <n v="1"/>
    <s v="Vinay"/>
    <s v="Ahmedabad"/>
    <s v="Construction, Power &amp; Infrastructure"/>
    <x v="2"/>
    <n v="5712.04"/>
    <d v="2018-10-14T00:00:00"/>
    <s v="Brokerage"/>
    <s v="Inception"/>
    <m/>
    <d v="2020-01-22T00:00:00"/>
  </r>
  <r>
    <s v="XYZ"/>
    <s v="'11120044180800000002"/>
    <s v="Active"/>
    <d v="2018-07-14T00:00:00"/>
    <d v="2022-01-13T00:00:00"/>
    <s v="Engineering"/>
    <n v="1"/>
    <s v="Vinay"/>
    <s v="Ahmedabad"/>
    <s v="Construction, Power &amp; Infrastructure"/>
    <x v="2"/>
    <n v="5712.04"/>
    <d v="2019-01-14T00:00:00"/>
    <s v="Brokerage"/>
    <s v="Inception"/>
    <m/>
    <d v="2020-01-22T00:00:00"/>
  </r>
  <r>
    <s v="XYZ"/>
    <s v="'11120044180800000002"/>
    <s v="Active"/>
    <d v="2018-07-14T00:00:00"/>
    <d v="2022-01-13T00:00:00"/>
    <s v="Engineering"/>
    <n v="1"/>
    <s v="Vinay"/>
    <s v="Ahmedabad"/>
    <s v="Construction, Power &amp; Infrastructure"/>
    <x v="2"/>
    <n v="5712.04"/>
    <d v="2019-04-14T00:00:00"/>
    <s v="Brokerage"/>
    <s v="Inception"/>
    <m/>
    <d v="2020-01-22T00:00:00"/>
  </r>
  <r>
    <s v="XYZ"/>
    <s v="'11120044180800000002"/>
    <s v="Active"/>
    <d v="2018-07-14T00:00:00"/>
    <d v="2022-01-13T00:00:00"/>
    <s v="Engineering"/>
    <n v="1"/>
    <s v="Vinay"/>
    <s v="Ahmedabad"/>
    <s v="Construction, Power &amp; Infrastructure"/>
    <x v="2"/>
    <n v="5712.04"/>
    <d v="2019-07-14T00:00:00"/>
    <s v="Brokerage"/>
    <s v="Inception"/>
    <m/>
    <d v="2020-01-22T00:00:00"/>
  </r>
  <r>
    <s v="XYZ"/>
    <s v="'11120044180800000002"/>
    <s v="Active"/>
    <d v="2018-07-14T00:00:00"/>
    <d v="2022-01-13T00:00:00"/>
    <s v="Engineering"/>
    <n v="1"/>
    <s v="Vinay"/>
    <s v="Ahmedabad"/>
    <s v="Construction, Power &amp; Infrastructure"/>
    <x v="2"/>
    <n v="15832.08"/>
    <d v="2018-07-14T00:00:00"/>
    <s v="Brokerage"/>
    <s v="Inception"/>
    <m/>
    <d v="2020-01-22T00:00:00"/>
  </r>
  <r>
    <s v="XYZ"/>
    <s v="'11120044180800000003"/>
    <s v="Active"/>
    <d v="2018-07-14T00:00:00"/>
    <d v="2022-01-13T00:00:00"/>
    <s v="Engineering"/>
    <n v="1"/>
    <s v="Vinay"/>
    <s v="Ahmedabad"/>
    <s v="Construction, Power &amp; Infrastructure"/>
    <x v="2"/>
    <n v="11198.33"/>
    <d v="2021-07-14T00:00:00"/>
    <s v="Brokerage"/>
    <s v="Inception"/>
    <m/>
    <d v="2020-01-22T00:00:00"/>
  </r>
  <r>
    <s v="XYZ"/>
    <s v="'11120044180800000003"/>
    <s v="Active"/>
    <d v="2018-07-14T00:00:00"/>
    <d v="2022-01-13T00:00:00"/>
    <s v="Engineering"/>
    <n v="1"/>
    <s v="Vinay"/>
    <s v="Ahmedabad"/>
    <s v="Construction, Power &amp; Infrastructure"/>
    <x v="2"/>
    <n v="11279.55"/>
    <d v="2020-01-14T00:00:00"/>
    <s v="Brokerage"/>
    <s v="Inception"/>
    <m/>
    <d v="2020-01-22T00:00:00"/>
  </r>
  <r>
    <s v="XYZ"/>
    <s v="'11120044180800000003"/>
    <s v="Active"/>
    <d v="2018-07-14T00:00:00"/>
    <d v="2022-01-13T00:00:00"/>
    <s v="Engineering"/>
    <n v="1"/>
    <s v="Vinay"/>
    <s v="Ahmedabad"/>
    <s v="Construction, Power &amp; Infrastructure"/>
    <x v="2"/>
    <n v="11279.55"/>
    <d v="2020-04-14T00:00:00"/>
    <s v="Brokerage"/>
    <s v="Inception"/>
    <m/>
    <d v="2020-01-22T00:00:00"/>
  </r>
  <r>
    <s v="XYZ"/>
    <s v="'11120044180800000003"/>
    <s v="Active"/>
    <d v="2018-07-14T00:00:00"/>
    <d v="2022-01-13T00:00:00"/>
    <s v="Engineering"/>
    <n v="1"/>
    <s v="Vinay"/>
    <s v="Ahmedabad"/>
    <s v="Construction, Power &amp; Infrastructure"/>
    <x v="2"/>
    <n v="11279.55"/>
    <d v="2020-07-14T00:00:00"/>
    <s v="Brokerage"/>
    <s v="Inception"/>
    <m/>
    <d v="2020-01-22T00:00:00"/>
  </r>
  <r>
    <s v="XYZ"/>
    <s v="'11120044180800000003"/>
    <s v="Active"/>
    <d v="2018-07-14T00:00:00"/>
    <d v="2022-01-13T00:00:00"/>
    <s v="Engineering"/>
    <n v="1"/>
    <s v="Vinay"/>
    <s v="Ahmedabad"/>
    <s v="Construction, Power &amp; Infrastructure"/>
    <x v="2"/>
    <n v="11279.55"/>
    <d v="2020-10-14T00:00:00"/>
    <s v="Brokerage"/>
    <s v="Inception"/>
    <m/>
    <d v="2020-01-22T00:00:00"/>
  </r>
  <r>
    <s v="XYZ"/>
    <s v="'11120044180800000003"/>
    <s v="Active"/>
    <d v="2018-07-14T00:00:00"/>
    <d v="2022-01-13T00:00:00"/>
    <s v="Engineering"/>
    <n v="1"/>
    <s v="Vinay"/>
    <s v="Ahmedabad"/>
    <s v="Construction, Power &amp; Infrastructure"/>
    <x v="2"/>
    <n v="11279.55"/>
    <d v="2021-01-14T00:00:00"/>
    <s v="Brokerage"/>
    <s v="Inception"/>
    <m/>
    <d v="2020-01-22T00:00:00"/>
  </r>
  <r>
    <s v="XYZ"/>
    <s v="'11120044180800000003"/>
    <s v="Active"/>
    <d v="2018-07-14T00:00:00"/>
    <d v="2022-01-13T00:00:00"/>
    <s v="Engineering"/>
    <n v="1"/>
    <s v="Vinay"/>
    <s v="Ahmedabad"/>
    <s v="Construction, Power &amp; Infrastructure"/>
    <x v="2"/>
    <n v="11279.55"/>
    <d v="2021-04-14T00:00:00"/>
    <s v="Brokerage"/>
    <s v="Inception"/>
    <m/>
    <d v="2020-01-22T00:00:00"/>
  </r>
  <r>
    <s v="XYZ"/>
    <s v="'11120044180800000003"/>
    <s v="Active"/>
    <d v="2018-07-14T00:00:00"/>
    <d v="2022-01-13T00:00:00"/>
    <s v="Engineering"/>
    <n v="1"/>
    <s v="Vinay"/>
    <s v="Ahmedabad"/>
    <s v="Construction, Power &amp; Infrastructure"/>
    <x v="2"/>
    <n v="11279.55"/>
    <d v="2018-10-14T00:00:00"/>
    <s v="Brokerage"/>
    <s v="Inception"/>
    <m/>
    <d v="2020-01-22T00:00:00"/>
  </r>
  <r>
    <s v="XYZ"/>
    <s v="'11120044180800000003"/>
    <s v="Active"/>
    <d v="2018-07-14T00:00:00"/>
    <d v="2022-01-13T00:00:00"/>
    <s v="Engineering"/>
    <n v="1"/>
    <s v="Vinay"/>
    <s v="Ahmedabad"/>
    <s v="Construction, Power &amp; Infrastructure"/>
    <x v="2"/>
    <n v="11279.55"/>
    <d v="2019-01-14T00:00:00"/>
    <s v="Brokerage"/>
    <s v="Inception"/>
    <m/>
    <d v="2020-01-22T00:00:00"/>
  </r>
  <r>
    <s v="XYZ"/>
    <s v="'11120044180800000003"/>
    <s v="Active"/>
    <d v="2018-07-14T00:00:00"/>
    <d v="2022-01-13T00:00:00"/>
    <s v="Engineering"/>
    <n v="1"/>
    <s v="Vinay"/>
    <s v="Ahmedabad"/>
    <s v="Construction, Power &amp; Infrastructure"/>
    <x v="2"/>
    <n v="11279.55"/>
    <d v="2019-04-14T00:00:00"/>
    <s v="Brokerage"/>
    <s v="Inception"/>
    <m/>
    <d v="2020-01-22T00:00:00"/>
  </r>
  <r>
    <s v="XYZ"/>
    <s v="'11120044180800000003"/>
    <s v="Active"/>
    <d v="2018-07-14T00:00:00"/>
    <d v="2022-01-13T00:00:00"/>
    <s v="Engineering"/>
    <n v="1"/>
    <s v="Vinay"/>
    <s v="Ahmedabad"/>
    <s v="Construction, Power &amp; Infrastructure"/>
    <x v="2"/>
    <n v="11279.55"/>
    <d v="2019-07-14T00:00:00"/>
    <s v="Brokerage"/>
    <s v="Inception"/>
    <m/>
    <d v="2020-01-22T00:00:00"/>
  </r>
  <r>
    <s v="XYZ"/>
    <s v="'11120044180800000003"/>
    <s v="Active"/>
    <d v="2018-07-14T00:00:00"/>
    <d v="2022-01-13T00:00:00"/>
    <s v="Engineering"/>
    <n v="1"/>
    <s v="Vinay"/>
    <s v="Ahmedabad"/>
    <s v="Construction, Power &amp; Infrastructure"/>
    <x v="2"/>
    <n v="11279.55"/>
    <d v="2019-10-14T00:00:00"/>
    <s v="Brokerage"/>
    <s v="Inception"/>
    <m/>
    <d v="2020-01-22T00:00:00"/>
  </r>
  <r>
    <s v="XYZ"/>
    <s v="'11120044180800000003"/>
    <s v="Active"/>
    <d v="2018-07-14T00:00:00"/>
    <d v="2022-01-13T00:00:00"/>
    <s v="Engineering"/>
    <n v="1"/>
    <s v="Vinay"/>
    <s v="Ahmedabad"/>
    <s v="Construction, Power &amp; Infrastructure"/>
    <x v="2"/>
    <n v="27256.2"/>
    <d v="2018-07-14T00:00:00"/>
    <s v="Brokerage"/>
    <s v="Inception"/>
    <m/>
    <d v="2020-01-22T00:00:00"/>
  </r>
  <r>
    <s v="XYZ"/>
    <s v="'11120044180800000006"/>
    <s v="Active"/>
    <d v="2018-12-14T00:00:00"/>
    <d v="2021-06-13T00:00:00"/>
    <s v="Engineering"/>
    <n v="1"/>
    <s v="Vinay"/>
    <s v="Ahmedabad"/>
    <s v="Construction, Power &amp; Infrastructure"/>
    <x v="2"/>
    <n v="2426.0300000000002"/>
    <d v="2020-12-14T00:00:00"/>
    <s v="Brokerage"/>
    <s v="Inception"/>
    <m/>
    <d v="2020-01-22T00:00:00"/>
  </r>
  <r>
    <s v="XYZ"/>
    <s v="'11120044180800000006"/>
    <s v="Active"/>
    <d v="2018-12-14T00:00:00"/>
    <d v="2021-06-13T00:00:00"/>
    <s v="Engineering"/>
    <n v="1"/>
    <s v="Vinay"/>
    <s v="Ahmedabad"/>
    <s v="Construction, Power &amp; Infrastructure"/>
    <x v="2"/>
    <n v="2426.06"/>
    <d v="2019-12-14T00:00:00"/>
    <s v="Brokerage"/>
    <s v="Inception"/>
    <m/>
    <d v="2020-01-22T00:00:00"/>
  </r>
  <r>
    <s v="XYZ"/>
    <s v="'11120044180800000006"/>
    <s v="Active"/>
    <d v="2018-12-14T00:00:00"/>
    <d v="2021-06-13T00:00:00"/>
    <s v="Engineering"/>
    <n v="1"/>
    <s v="Vinay"/>
    <s v="Ahmedabad"/>
    <s v="Construction, Power &amp; Infrastructure"/>
    <x v="2"/>
    <n v="2426.06"/>
    <d v="2020-03-14T00:00:00"/>
    <s v="Brokerage"/>
    <s v="Inception"/>
    <m/>
    <d v="2020-01-22T00:00:00"/>
  </r>
  <r>
    <s v="XYZ"/>
    <s v="'11120044180800000006"/>
    <s v="Active"/>
    <d v="2018-12-14T00:00:00"/>
    <d v="2021-06-13T00:00:00"/>
    <s v="Engineering"/>
    <n v="1"/>
    <s v="Vinay"/>
    <s v="Ahmedabad"/>
    <s v="Construction, Power &amp; Infrastructure"/>
    <x v="2"/>
    <n v="2426.06"/>
    <d v="2020-06-14T00:00:00"/>
    <s v="Brokerage"/>
    <s v="Inception"/>
    <m/>
    <d v="2020-01-22T00:00:00"/>
  </r>
  <r>
    <s v="XYZ"/>
    <s v="'11120044180800000006"/>
    <s v="Active"/>
    <d v="2018-12-14T00:00:00"/>
    <d v="2021-06-13T00:00:00"/>
    <s v="Engineering"/>
    <n v="1"/>
    <s v="Vinay"/>
    <s v="Ahmedabad"/>
    <s v="Construction, Power &amp; Infrastructure"/>
    <x v="2"/>
    <n v="2426.06"/>
    <d v="2020-09-14T00:00:00"/>
    <s v="Brokerage"/>
    <s v="Inception"/>
    <m/>
    <d v="2020-01-22T00:00:00"/>
  </r>
  <r>
    <s v="XYZ"/>
    <s v="'11120044180800000006"/>
    <s v="Active"/>
    <d v="2018-12-14T00:00:00"/>
    <d v="2021-06-13T00:00:00"/>
    <s v="Engineering"/>
    <n v="1"/>
    <s v="Vinay"/>
    <s v="Ahmedabad"/>
    <s v="Construction, Power &amp; Infrastructure"/>
    <x v="2"/>
    <n v="2426.06"/>
    <d v="2019-03-14T00:00:00"/>
    <s v="Brokerage"/>
    <s v="Inception"/>
    <m/>
    <d v="2020-01-22T00:00:00"/>
  </r>
  <r>
    <s v="XYZ"/>
    <s v="'11120044180800000006"/>
    <s v="Active"/>
    <d v="2018-12-14T00:00:00"/>
    <d v="2021-06-13T00:00:00"/>
    <s v="Engineering"/>
    <n v="1"/>
    <s v="Vinay"/>
    <s v="Ahmedabad"/>
    <s v="Construction, Power &amp; Infrastructure"/>
    <x v="2"/>
    <n v="2426.06"/>
    <d v="2019-06-14T00:00:00"/>
    <s v="Brokerage"/>
    <s v="Inception"/>
    <m/>
    <d v="2020-01-22T00:00:00"/>
  </r>
  <r>
    <s v="XYZ"/>
    <s v="'11120044180800000006"/>
    <s v="Active"/>
    <d v="2018-12-14T00:00:00"/>
    <d v="2021-06-13T00:00:00"/>
    <s v="Engineering"/>
    <n v="1"/>
    <s v="Vinay"/>
    <s v="Ahmedabad"/>
    <s v="Construction, Power &amp; Infrastructure"/>
    <x v="2"/>
    <n v="2426.06"/>
    <d v="2019-09-14T00:00:00"/>
    <s v="Brokerage"/>
    <s v="Inception"/>
    <m/>
    <d v="2020-01-22T00:00:00"/>
  </r>
  <r>
    <s v="XYZ"/>
    <s v="'11120044180800000006"/>
    <s v="Active"/>
    <d v="2018-12-14T00:00:00"/>
    <d v="2021-06-13T00:00:00"/>
    <s v="Engineering"/>
    <n v="1"/>
    <s v="Vinay"/>
    <s v="Ahmedabad"/>
    <s v="Construction, Power &amp; Infrastructure"/>
    <x v="2"/>
    <n v="6203.49"/>
    <d v="2018-12-14T00:00:00"/>
    <s v="Brokerage"/>
    <s v="Inception"/>
    <m/>
    <d v="2020-01-22T00:00:00"/>
  </r>
  <r>
    <s v="XYZ"/>
    <s v="1210001119P104351661'"/>
    <s v="Active"/>
    <d v="2019-06-26T00:00:00"/>
    <d v="2020-06-25T00:00:00"/>
    <s v="Fire"/>
    <n v="11"/>
    <s v="Raju Kumar"/>
    <s v="Ahmedabad"/>
    <s v="Construction, Power &amp; Infrastructure"/>
    <x v="2"/>
    <n v="137712.39000000001"/>
    <d v="2019-06-26T00:00:00"/>
    <s v="Brokerage"/>
    <s v="Inception"/>
    <m/>
    <d v="2020-01-22T00:00:00"/>
  </r>
  <r>
    <s v="XYZ"/>
    <s v="'1213004416P107726014 / 1213002116P107726019"/>
    <s v="Active"/>
    <d v="2019-02-28T00:00:00"/>
    <d v="2019-05-27T00:00:00"/>
    <s v="Engineering"/>
    <n v="1"/>
    <s v="Vinay"/>
    <s v="Ahmedabad"/>
    <s v="Construction, Power &amp; Infrastructure"/>
    <x v="2"/>
    <n v="21929.45"/>
    <d v="2019-03-01T00:00:00"/>
    <s v="Brokerage"/>
    <s v="Renewal"/>
    <m/>
    <d v="2020-01-22T00:00:00"/>
  </r>
  <r>
    <s v="XYZ"/>
    <s v="1213004416P107726014  (SCE)/1213002116P107726019 ( MCE)"/>
    <s v="Inactive"/>
    <d v="2016-08-29T00:00:00"/>
    <d v="2019-02-28T00:00:00"/>
    <s v="Engineering"/>
    <n v="1"/>
    <s v="Vinay"/>
    <s v="Ahmedabad"/>
    <s v="Construction, Power &amp; Infrastructure"/>
    <x v="2"/>
    <n v="55777.3"/>
    <d v="2016-08-29T00:00:00"/>
    <s v="Brokerage"/>
    <s v="Inception"/>
    <m/>
    <d v="2020-01-22T00:00:00"/>
  </r>
  <r>
    <s v="XYZ"/>
    <s v="1213004416P107744588 "/>
    <s v="Inactive"/>
    <d v="2016-08-26T00:00:00"/>
    <d v="2018-08-25T00:00:00"/>
    <s v="Engineering"/>
    <n v="1"/>
    <s v="Vinay"/>
    <s v="Ahmedabad"/>
    <s v="Construction, Power &amp; Infrastructure"/>
    <x v="2"/>
    <n v="101109.75"/>
    <d v="2018-08-25T00:00:00"/>
    <s v="Brokerage"/>
    <s v="Lapse"/>
    <s v="NOLN - No Longer Needed"/>
    <d v="2020-01-22T00:00:00"/>
  </r>
  <r>
    <s v="Sanjay Trivedi"/>
    <s v="'1213004416P109402880"/>
    <s v="Active"/>
    <d v="2016-09-23T00:00:00"/>
    <d v="2019-09-22T00:00:00"/>
    <s v="Engineering"/>
    <n v="1"/>
    <s v="Vinay"/>
    <s v="Ahmedabad"/>
    <s v="Construction, Power &amp; Infrastructure"/>
    <x v="1"/>
    <n v="31589.25"/>
    <d v="2017-12-23T00:00:00"/>
    <s v="Brokerage"/>
    <s v="Endorsement"/>
    <m/>
    <d v="2020-01-22T00:00:00"/>
  </r>
  <r>
    <s v="Anita Sethi"/>
    <s v="'1213004416P109402880"/>
    <s v="Active"/>
    <d v="2016-09-23T00:00:00"/>
    <d v="2019-09-22T00:00:00"/>
    <s v="Engineering"/>
    <n v="1"/>
    <s v="Vinay"/>
    <s v="Ahmedabad"/>
    <s v="Construction, Power &amp; Infrastructure"/>
    <x v="1"/>
    <n v="31589.25"/>
    <d v="2018-03-23T00:00:00"/>
    <s v="Brokerage"/>
    <s v="Endorsement"/>
    <m/>
    <d v="2020-01-22T00:00:00"/>
  </r>
  <r>
    <s v="Ashok Chatterjee"/>
    <s v="'1213004416P109402880"/>
    <s v="Active"/>
    <d v="2016-09-23T00:00:00"/>
    <d v="2019-09-22T00:00:00"/>
    <s v="Engineering"/>
    <n v="1"/>
    <s v="Vinay"/>
    <s v="Ahmedabad"/>
    <s v="Construction, Power &amp; Infrastructure"/>
    <x v="1"/>
    <n v="31589.25"/>
    <d v="2018-06-23T00:00:00"/>
    <s v="Brokerage"/>
    <s v="Endorsement"/>
    <m/>
    <d v="2020-01-22T00:00:00"/>
  </r>
  <r>
    <s v="Rani Agarwal"/>
    <s v="'1213004416P109402880"/>
    <s v="Active"/>
    <d v="2016-09-23T00:00:00"/>
    <d v="2019-09-22T00:00:00"/>
    <s v="Engineering"/>
    <n v="1"/>
    <s v="Vinay"/>
    <s v="Ahmedabad"/>
    <s v="Construction, Power &amp; Infrastructure"/>
    <x v="1"/>
    <n v="31589.25"/>
    <d v="2018-09-23T00:00:00"/>
    <s v="Brokerage"/>
    <s v="Endorsement"/>
    <m/>
    <d v="2020-01-22T00:00:00"/>
  </r>
  <r>
    <s v="Arjun Rao"/>
    <s v="'1213004416P109402880"/>
    <s v="Active"/>
    <d v="2016-09-23T00:00:00"/>
    <d v="2019-09-22T00:00:00"/>
    <s v="Engineering"/>
    <n v="1"/>
    <s v="Vinay"/>
    <s v="Ahmedabad"/>
    <s v="Construction, Power &amp; Infrastructure"/>
    <x v="1"/>
    <n v="31589.25"/>
    <d v="2018-12-23T00:00:00"/>
    <s v="Brokerage"/>
    <s v="Endorsement"/>
    <m/>
    <d v="2020-01-22T00:00:00"/>
  </r>
  <r>
    <s v="Anil Naik"/>
    <s v="'1213004416P109402880"/>
    <s v="Active"/>
    <d v="2016-09-23T00:00:00"/>
    <d v="2019-09-22T00:00:00"/>
    <s v="Engineering"/>
    <n v="1"/>
    <s v="Vinay"/>
    <s v="Ahmedabad"/>
    <s v="Construction, Power &amp; Infrastructure"/>
    <x v="1"/>
    <n v="31589.25"/>
    <d v="2019-03-23T00:00:00"/>
    <s v="Brokerage"/>
    <s v="Endorsement"/>
    <m/>
    <d v="2020-01-22T00:00:00"/>
  </r>
  <r>
    <s v="Simran Trivedi"/>
    <s v="'1213004416P109402880"/>
    <s v="Active"/>
    <d v="2016-09-23T00:00:00"/>
    <d v="2019-09-22T00:00:00"/>
    <s v="Engineering"/>
    <n v="1"/>
    <s v="Vinay"/>
    <s v="Ahmedabad"/>
    <s v="Construction, Power &amp; Infrastructure"/>
    <x v="1"/>
    <n v="31589.3"/>
    <d v="2016-12-23T00:00:00"/>
    <s v="Brokerage"/>
    <s v="Endorsement"/>
    <m/>
    <d v="2020-01-22T00:00:00"/>
  </r>
  <r>
    <s v="Dhruv Chopra"/>
    <s v="'1213004416P109402880"/>
    <s v="Active"/>
    <d v="2016-09-23T00:00:00"/>
    <d v="2019-09-22T00:00:00"/>
    <s v="Engineering"/>
    <n v="1"/>
    <s v="Vinay"/>
    <s v="Ahmedabad"/>
    <s v="Construction, Power &amp; Infrastructure"/>
    <x v="1"/>
    <n v="31589.3"/>
    <d v="2017-03-23T00:00:00"/>
    <s v="Brokerage"/>
    <s v="Endorsement"/>
    <m/>
    <d v="2020-01-22T00:00:00"/>
  </r>
  <r>
    <s v="Jaya Chopra"/>
    <s v="'1213004416P109402880"/>
    <s v="Active"/>
    <d v="2016-09-23T00:00:00"/>
    <d v="2019-09-22T00:00:00"/>
    <s v="Engineering"/>
    <n v="1"/>
    <s v="Vinay"/>
    <s v="Ahmedabad"/>
    <s v="Construction, Power &amp; Infrastructure"/>
    <x v="1"/>
    <n v="31589.3"/>
    <d v="2017-06-23T00:00:00"/>
    <s v="Brokerage"/>
    <s v="Endorsement"/>
    <m/>
    <d v="2020-01-22T00:00:00"/>
  </r>
  <r>
    <s v="Kiran Goyal"/>
    <s v="'1213004416P109402880"/>
    <s v="Active"/>
    <d v="2016-09-23T00:00:00"/>
    <d v="2019-09-22T00:00:00"/>
    <s v="Engineering"/>
    <n v="1"/>
    <s v="Vinay"/>
    <s v="Ahmedabad"/>
    <s v="Construction, Power &amp; Infrastructure"/>
    <x v="1"/>
    <n v="31589.3"/>
    <d v="2017-09-23T00:00:00"/>
    <s v="Brokerage"/>
    <s v="Endorsement"/>
    <m/>
    <d v="2020-01-22T00:00:00"/>
  </r>
  <r>
    <s v="Pravin Sengupta"/>
    <s v="'1213004416P109402880"/>
    <s v="Active"/>
    <d v="2016-09-23T00:00:00"/>
    <d v="2019-09-22T00:00:00"/>
    <s v="Engineering"/>
    <n v="1"/>
    <s v="Vinay"/>
    <s v="Ahmedabad"/>
    <s v="Construction, Power &amp; Infrastructure"/>
    <x v="1"/>
    <n v="183374.9"/>
    <d v="2016-09-23T00:00:00"/>
    <s v="Brokerage"/>
    <s v="Endorsement"/>
    <m/>
    <d v="2020-01-22T00:00:00"/>
  </r>
  <r>
    <s v="Snehal Das"/>
    <s v="'1213004416P109402880"/>
    <s v="Active"/>
    <d v="2016-09-23T00:00:00"/>
    <d v="2019-09-22T00:00:00"/>
    <s v="Engineering"/>
    <n v="1"/>
    <s v="Vinay"/>
    <s v="Ahmedabad"/>
    <s v="Construction, Power &amp; Infrastructure"/>
    <x v="1"/>
    <n v="0"/>
    <m/>
    <s v="Brokerage "/>
    <s v="Endorsement"/>
    <m/>
    <d v="2020-01-22T00:00:00"/>
  </r>
  <r>
    <s v="Rajesh Malhotra"/>
    <s v="'1213004416P109402880"/>
    <s v="Active"/>
    <d v="2016-09-23T00:00:00"/>
    <d v="2019-09-22T00:00:00"/>
    <s v="Engineering"/>
    <n v="1"/>
    <s v="Vinay"/>
    <s v="Ahmedabad"/>
    <s v="Construction, Power &amp; Infrastructure"/>
    <x v="1"/>
    <n v="0"/>
    <m/>
    <s v="Brokerage "/>
    <s v="Endorsement"/>
    <m/>
    <d v="2020-01-22T00:00:00"/>
  </r>
  <r>
    <s v="Archana Bhatia"/>
    <s v="'1213004416P109402880"/>
    <s v="Active"/>
    <d v="2016-09-23T00:00:00"/>
    <d v="2019-09-22T00:00:00"/>
    <s v="Engineering"/>
    <n v="1"/>
    <s v="Vinay"/>
    <s v="Ahmedabad"/>
    <s v="Construction, Power &amp; Infrastructure"/>
    <x v="1"/>
    <n v="0"/>
    <m/>
    <s v="Brokerage "/>
    <s v="Endorsement"/>
    <m/>
    <d v="2020-01-22T00:00:00"/>
  </r>
  <r>
    <s v="Ashok Reddy"/>
    <s v="141400/11/2018/484"/>
    <s v="Active"/>
    <d v="2017-10-21T00:00:00"/>
    <d v="2018-10-20T00:00:00"/>
    <s v="Fire"/>
    <n v="1"/>
    <s v="Vinay"/>
    <s v="Ahmedabad"/>
    <s v="Construction, Power &amp; Infrastructure"/>
    <x v="2"/>
    <n v="10118.39"/>
    <d v="2017-10-21T00:00:00"/>
    <s v="Brokerage"/>
    <s v="Inception"/>
    <m/>
    <d v="2020-01-22T00:00:00"/>
  </r>
  <r>
    <s v="Madhuri Bhatia"/>
    <s v="141400/48/2018/1288"/>
    <s v="Active"/>
    <d v="2017-10-21T00:00:00"/>
    <d v="2018-10-20T00:00:00"/>
    <s v="Miscellaneous"/>
    <n v="1"/>
    <s v="Vinay"/>
    <s v="Ahmedabad"/>
    <s v="Construction, Power &amp; Infrastructure"/>
    <x v="2"/>
    <n v="2254.63"/>
    <d v="2017-10-21T00:00:00"/>
    <s v="Brokerage"/>
    <s v="Inception"/>
    <m/>
    <d v="2020-01-22T00:00:00"/>
  </r>
  <r>
    <s v="Pranav Mishra"/>
    <s v="'23070044150300000010"/>
    <s v="Active"/>
    <d v="2015-10-13T00:00:00"/>
    <d v="2019-10-12T00:00:00"/>
    <s v="Engineering"/>
    <n v="11"/>
    <s v="Raju Kumar"/>
    <s v="Ahmedabad"/>
    <s v="Construction, Power &amp; Infrastructure"/>
    <x v="2"/>
    <n v="0"/>
    <d v="2015-10-13T00:00:00"/>
    <s v="Brokerage"/>
    <s v="Inception"/>
    <m/>
    <d v="2020-01-22T00:00:00"/>
  </r>
  <r>
    <s v="Rina Goyal"/>
    <s v="'23070044170300000002"/>
    <s v="Active"/>
    <d v="2017-05-19T00:00:00"/>
    <d v="2019-11-18T00:00:00"/>
    <s v="Engineering"/>
    <n v="11"/>
    <s v="Raju Kumar"/>
    <s v="Ahmedabad"/>
    <s v="Construction, Power &amp; Infrastructure"/>
    <x v="2"/>
    <n v="0"/>
    <d v="2017-05-19T00:00:00"/>
    <s v="Brokerage"/>
    <s v="Inception"/>
    <m/>
    <d v="2020-01-22T00:00:00"/>
  </r>
  <r>
    <s v="Geeta Gupta"/>
    <n v="2309003004"/>
    <s v="Active"/>
    <d v="2018-05-29T00:00:00"/>
    <d v="2027-05-28T00:00:00"/>
    <s v="Liability"/>
    <n v="1"/>
    <s v="Vinay"/>
    <s v="Ahmedabad"/>
    <s v="Liability"/>
    <x v="2"/>
    <n v="118750"/>
    <d v="2018-05-29T00:00:00"/>
    <s v="Brokerage"/>
    <s v="Inception"/>
    <m/>
    <d v="2020-01-22T00:00:00"/>
  </r>
  <r>
    <s v="Sudhir Roy"/>
    <s v="'42040044180300000018"/>
    <s v="Active"/>
    <d v="2018-08-28T00:00:00"/>
    <d v="2020-08-23T00:00:00"/>
    <s v="Engineering"/>
    <n v="1"/>
    <s v="Vinay"/>
    <s v="Ahmedabad"/>
    <s v="Construction, Power &amp; Infrastructure"/>
    <x v="1"/>
    <n v="93516.75"/>
    <d v="2020-05-07T00:00:00"/>
    <s v="Brokerage"/>
    <s v="Inception"/>
    <m/>
    <d v="2020-01-22T00:00:00"/>
  </r>
  <r>
    <s v="Rani Kaul"/>
    <s v="'42040044180300000018"/>
    <s v="Active"/>
    <d v="2018-08-28T00:00:00"/>
    <d v="2020-08-23T00:00:00"/>
    <s v="Engineering"/>
    <n v="1"/>
    <s v="Vinay"/>
    <s v="Ahmedabad"/>
    <s v="Construction, Power &amp; Infrastructure"/>
    <x v="1"/>
    <n v="93516.75"/>
    <d v="2020-05-07T00:00:00"/>
    <s v="Brokerage"/>
    <s v="Inception"/>
    <m/>
    <d v="2020-01-22T00:00:00"/>
  </r>
  <r>
    <s v="Kavita Sharma"/>
    <s v="'42040044180300000018"/>
    <s v="Active"/>
    <d v="2018-08-28T00:00:00"/>
    <d v="2020-08-23T00:00:00"/>
    <s v="Engineering"/>
    <n v="1"/>
    <s v="Vinay"/>
    <s v="Ahmedabad"/>
    <s v="Construction, Power &amp; Infrastructure"/>
    <x v="1"/>
    <n v="93516.75"/>
    <d v="2020-05-07T00:00:00"/>
    <s v="Brokerage"/>
    <s v="Inception"/>
    <m/>
    <d v="2020-01-22T00:00:00"/>
  </r>
  <r>
    <s v="Shikha Sethi"/>
    <s v="'42040044180300000018"/>
    <s v="Active"/>
    <d v="2018-08-28T00:00:00"/>
    <d v="2020-08-23T00:00:00"/>
    <s v="Engineering"/>
    <n v="1"/>
    <s v="Vinay"/>
    <s v="Ahmedabad"/>
    <s v="Construction, Power &amp; Infrastructure"/>
    <x v="1"/>
    <n v="93517.25"/>
    <d v="2020-01-25T00:00:00"/>
    <s v="Brokerage"/>
    <s v="Inception"/>
    <m/>
    <d v="2020-01-22T00:00:00"/>
  </r>
  <r>
    <s v="Amit Bhargava"/>
    <s v="'42040044180300000018"/>
    <s v="Active"/>
    <d v="2018-08-28T00:00:00"/>
    <d v="2020-08-23T00:00:00"/>
    <s v="Engineering"/>
    <n v="1"/>
    <s v="Vinay"/>
    <s v="Ahmedabad"/>
    <s v="Construction, Power &amp; Infrastructure"/>
    <x v="1"/>
    <n v="100710.88"/>
    <d v="2018-12-09T00:00:00"/>
    <s v="Brokerage"/>
    <s v="Inception"/>
    <m/>
    <d v="2020-01-22T00:00:00"/>
  </r>
  <r>
    <s v="Alka Goel"/>
    <s v="'42040044180300000018"/>
    <s v="Active"/>
    <d v="2018-08-28T00:00:00"/>
    <d v="2020-08-23T00:00:00"/>
    <s v="Engineering"/>
    <n v="1"/>
    <s v="Vinay"/>
    <s v="Ahmedabad"/>
    <s v="Construction, Power &amp; Infrastructure"/>
    <x v="1"/>
    <n v="100710.88"/>
    <d v="2019-03-22T00:00:00"/>
    <s v="Brokerage"/>
    <s v="Inception"/>
    <m/>
    <d v="2020-01-22T00:00:00"/>
  </r>
  <r>
    <s v="Harish Sharma"/>
    <s v="'42040044180300000018"/>
    <s v="Active"/>
    <d v="2018-08-28T00:00:00"/>
    <d v="2020-08-23T00:00:00"/>
    <s v="Engineering"/>
    <n v="1"/>
    <s v="Vinay"/>
    <s v="Ahmedabad"/>
    <s v="Construction, Power &amp; Infrastructure"/>
    <x v="1"/>
    <n v="100710.88"/>
    <d v="2019-07-03T00:00:00"/>
    <s v="Brokerage"/>
    <s v="Inception"/>
    <m/>
    <d v="2020-01-22T00:00:00"/>
  </r>
  <r>
    <s v="Gaurav Goel"/>
    <s v="'42040044180300000018"/>
    <s v="Active"/>
    <d v="2018-08-28T00:00:00"/>
    <d v="2020-08-23T00:00:00"/>
    <s v="Engineering"/>
    <n v="1"/>
    <s v="Vinay"/>
    <s v="Ahmedabad"/>
    <s v="Construction, Power &amp; Infrastructure"/>
    <x v="1"/>
    <n v="100710.88"/>
    <d v="2019-10-14T00:00:00"/>
    <s v="Brokerage"/>
    <s v="Inception"/>
    <m/>
    <d v="2020-01-22T00:00:00"/>
  </r>
  <r>
    <s v="Ravi Naik"/>
    <s v="'42040044180300000018"/>
    <s v="Active"/>
    <d v="2018-08-28T00:00:00"/>
    <d v="2020-08-23T00:00:00"/>
    <s v="Engineering"/>
    <n v="1"/>
    <s v="Vinay"/>
    <s v="Ahmedabad"/>
    <s v="Construction, Power &amp; Infrastructure"/>
    <x v="1"/>
    <n v="129485.38"/>
    <d v="2018-08-28T00:00:00"/>
    <s v="Brokerage"/>
    <s v="Inception"/>
    <m/>
    <d v="2020-01-22T00:00:00"/>
  </r>
  <r>
    <s v="Kamlesh Prasad"/>
    <s v="'42040044180300000033"/>
    <s v="Active"/>
    <d v="2018-12-06T00:00:00"/>
    <d v="2019-12-05T00:00:00"/>
    <s v="Engineering"/>
    <n v="1"/>
    <s v="Vinay"/>
    <s v="Ahmedabad"/>
    <s v="Construction, Power &amp; Infrastructure"/>
    <x v="2"/>
    <n v="53711"/>
    <d v="2018-12-06T00:00:00"/>
    <s v="Brokerage"/>
    <s v="Inception"/>
    <m/>
    <d v="2020-01-22T00:00:00"/>
  </r>
  <r>
    <s v="Nikhil Verma"/>
    <s v="'42040044180300000057"/>
    <s v="Active"/>
    <d v="2019-03-26T00:00:00"/>
    <d v="2020-09-25T00:00:00"/>
    <s v="Engineering"/>
    <n v="1"/>
    <s v="Vinay"/>
    <s v="Ahmedabad"/>
    <s v="Construction, Power &amp; Infrastructure"/>
    <x v="2"/>
    <n v="49576"/>
    <d v="2019-03-26T00:00:00"/>
    <s v="Brokerage"/>
    <s v="Inception"/>
    <m/>
    <d v="2020-01-22T00:00:00"/>
  </r>
  <r>
    <s v="Vaishali Desai"/>
    <s v="5004/118413988/00/000"/>
    <s v="Active"/>
    <d v="2016-09-21T00:00:00"/>
    <d v="2020-06-20T00:00:00"/>
    <s v="Engineering"/>
    <n v="1"/>
    <s v="Vinay"/>
    <s v="Ahmedabad"/>
    <s v="Construction, Power &amp; Infrastructure"/>
    <x v="2"/>
    <n v="0"/>
    <d v="2016-09-21T00:00:00"/>
    <s v="Brokerage"/>
    <s v="Endorsement"/>
    <m/>
    <d v="2020-01-22T00:00:00"/>
  </r>
  <r>
    <s v="Atul Naik"/>
    <s v="5004/118413988/00/000"/>
    <s v="Active"/>
    <d v="2016-09-21T00:00:00"/>
    <d v="2020-06-20T00:00:00"/>
    <s v="Engineering"/>
    <n v="1"/>
    <s v="Vinay"/>
    <s v="Ahmedabad"/>
    <s v="Construction, Power &amp; Infrastructure"/>
    <x v="2"/>
    <m/>
    <d v="2018-09-21T00:00:00"/>
    <s v="Brokerage "/>
    <s v="Endorsement"/>
    <m/>
    <d v="2020-01-22T00:00:00"/>
  </r>
  <r>
    <s v="Meena Bhargava"/>
    <s v="5004/118413988/00/000"/>
    <s v="Active"/>
    <d v="2016-09-21T00:00:00"/>
    <d v="2020-06-20T00:00:00"/>
    <s v="Engineering"/>
    <n v="1"/>
    <s v="Vinay"/>
    <s v="Ahmedabad"/>
    <s v="Construction, Power &amp; Infrastructure"/>
    <x v="2"/>
    <m/>
    <d v="2018-12-21T00:00:00"/>
    <s v="Brokerage "/>
    <s v="Endorsement"/>
    <m/>
    <d v="2020-01-22T00:00:00"/>
  </r>
  <r>
    <s v="Mona Chopra"/>
    <s v="'500413128488100000"/>
    <s v="Active"/>
    <d v="2017-06-01T00:00:00"/>
    <d v="2019-05-31T00:00:00"/>
    <s v="Engineering"/>
    <n v="1"/>
    <s v="Vinay"/>
    <s v="Ahmedabad"/>
    <s v="Construction, Power &amp; Infrastructure"/>
    <x v="2"/>
    <n v="64971"/>
    <d v="2018-12-01T00:00:00"/>
    <s v="Brokerage"/>
    <s v="Inception"/>
    <m/>
    <d v="2020-01-22T00:00:00"/>
  </r>
  <r>
    <s v="Mohit Tiwari"/>
    <s v="2002/174911788/00/000"/>
    <s v="Active"/>
    <d v="2019-06-30T00:00:00"/>
    <d v="2020-06-29T00:00:00"/>
    <s v="Marine"/>
    <n v="1"/>
    <s v="Vinay"/>
    <s v="Ahmedabad"/>
    <s v="Marine"/>
    <x v="0"/>
    <n v="66188.759999999995"/>
    <d v="2019-06-30T00:00:00"/>
    <s v="Brokerage"/>
    <s v="Renewal"/>
    <m/>
    <d v="2020-01-22T00:00:00"/>
  </r>
  <r>
    <s v="Tina Dutta"/>
    <s v="'2414201438068601000"/>
    <s v="Active"/>
    <d v="2017-06-30T00:00:00"/>
    <d v="2018-06-29T00:00:00"/>
    <s v="Marine"/>
    <n v="1"/>
    <s v="Vinay"/>
    <s v="Ahmedabad"/>
    <s v="Marine"/>
    <x v="2"/>
    <n v="37754.15"/>
    <d v="2018-06-30T00:00:00"/>
    <s v="Brokerage"/>
    <s v="Inception"/>
    <m/>
    <d v="2020-01-22T00:00:00"/>
  </r>
  <r>
    <s v="Hemant Das"/>
    <s v="'310300111910000371"/>
    <s v="Active"/>
    <d v="2019-09-01T00:00:00"/>
    <d v="2020-08-31T00:00:00"/>
    <s v="Fire"/>
    <n v="1"/>
    <s v="Vinay"/>
    <s v="Ahmedabad"/>
    <s v="Property / BI"/>
    <x v="0"/>
    <n v="48325.760000000002"/>
    <d v="2019-09-01T00:00:00"/>
    <s v="Brokerage"/>
    <s v="Renewal"/>
    <m/>
    <d v="2020-01-22T00:00:00"/>
  </r>
  <r>
    <s v="Sanjana Bhargava"/>
    <n v="3.1030411181E+17"/>
    <s v="Active"/>
    <d v="2018-09-01T00:00:00"/>
    <d v="2019-08-31T00:00:00"/>
    <s v="Fire"/>
    <n v="1"/>
    <s v="Vinay"/>
    <s v="Ahmedabad"/>
    <s v="Property / BI"/>
    <x v="0"/>
    <n v="5763.57"/>
    <d v="2018-09-01T00:00:00"/>
    <s v="Brokerage"/>
    <s v="Inception"/>
    <m/>
    <d v="2020-01-22T00:00:00"/>
  </r>
  <r>
    <s v="Kamlesh Trivedi"/>
    <n v="3.1030411181E+17"/>
    <s v="Inactive"/>
    <d v="2018-09-01T00:00:00"/>
    <d v="2019-08-31T00:00:00"/>
    <s v="Fire"/>
    <n v="1"/>
    <s v="Vinay"/>
    <s v="Ahmedabad"/>
    <s v="Property / BI"/>
    <x v="0"/>
    <n v="5721.71"/>
    <d v="2018-09-01T00:00:00"/>
    <s v="Brokerage"/>
    <s v="Inception"/>
    <m/>
    <d v="2020-01-22T00:00:00"/>
  </r>
  <r>
    <s v="Nikita Tiwari"/>
    <s v="OG-19-2202-1018-00000036"/>
    <s v="Inactive"/>
    <d v="2018-06-30T00:00:00"/>
    <d v="2019-06-29T00:00:00"/>
    <s v="Marine"/>
    <n v="5"/>
    <s v="Juli"/>
    <s v="Ahmedabad"/>
    <s v="Marine"/>
    <x v="0"/>
    <n v="50101.73"/>
    <d v="2018-06-30T00:00:00"/>
    <s v="Brokerage"/>
    <s v="Inception"/>
    <m/>
    <d v="2020-01-22T00:00:00"/>
  </r>
  <r>
    <s v="Kapil Kapoor"/>
    <s v="YB00015574000102"/>
    <s v="Inactive"/>
    <d v="2018-01-12T00:00:00"/>
    <d v="2019-01-11T00:00:00"/>
    <s v="Miscellaneous"/>
    <n v="1"/>
    <s v="Vinay"/>
    <s v="Ahmedabad"/>
    <s v="Energy"/>
    <x v="0"/>
    <n v="2940.49"/>
    <d v="2018-01-12T00:00:00"/>
    <s v="Brokerage"/>
    <s v="Lapse"/>
    <s v="OTHR â€“ Other"/>
    <d v="2020-01-22T00:00:00"/>
  </r>
  <r>
    <s v="Harish Rana"/>
    <s v="YB00015574000103"/>
    <s v="Active"/>
    <d v="2019-01-12T00:00:00"/>
    <d v="2020-01-11T00:00:00"/>
    <s v="Miscellaneous"/>
    <n v="1"/>
    <s v="Vinay"/>
    <s v="Ahmedabad"/>
    <s v="Energy"/>
    <x v="0"/>
    <n v="3073.94"/>
    <d v="2019-01-12T00:00:00"/>
    <s v="Brokerage"/>
    <s v="Renewal"/>
    <m/>
    <d v="2020-01-22T00:00:00"/>
  </r>
  <r>
    <s v="Nikhil Pandit"/>
    <s v="'2411 2020 9689 0500 000"/>
    <s v="Inactive"/>
    <d v="2018-01-16T00:00:00"/>
    <d v="2019-01-15T00:00:00"/>
    <s v="Marine"/>
    <n v="1"/>
    <s v="Vinay"/>
    <s v="Ahmedabad"/>
    <s v="Marine"/>
    <x v="2"/>
    <n v="330"/>
    <d v="2018-01-16T00:00:00"/>
    <s v="Brokerage"/>
    <s v="Lapse"/>
    <s v="OTHR â€“ Other"/>
    <d v="2020-01-22T00:00:00"/>
  </r>
  <r>
    <s v="Vivek Rana"/>
    <s v="'310300111910000396"/>
    <s v="Active"/>
    <d v="2019-09-01T00:00:00"/>
    <d v="2020-08-31T00:00:00"/>
    <s v="Fire"/>
    <n v="1"/>
    <s v="Vinay"/>
    <s v="Ahmedabad"/>
    <s v="Property / BI"/>
    <x v="0"/>
    <n v="20327.63"/>
    <d v="2019-09-01T00:00:00"/>
    <s v="Brokerage"/>
    <s v="Renewal"/>
    <m/>
    <d v="2020-01-22T00:00:00"/>
  </r>
  <r>
    <s v="Hemant Nair"/>
    <n v="3.1030411181E+17"/>
    <s v="Inactive"/>
    <d v="2018-09-01T00:00:00"/>
    <d v="2019-08-31T00:00:00"/>
    <s v="Fire"/>
    <n v="1"/>
    <s v="Vinay"/>
    <s v="Ahmedabad"/>
    <s v="Property / BI"/>
    <x v="0"/>
    <n v="2164.3000000000002"/>
    <d v="2018-09-01T00:00:00"/>
    <s v="Brokerage"/>
    <s v="Inception"/>
    <m/>
    <d v="2020-01-22T00:00:00"/>
  </r>
  <r>
    <s v="Veena Bhargava"/>
    <s v="'310300111910000397"/>
    <s v="Active"/>
    <d v="2019-09-01T00:00:00"/>
    <d v="2020-08-31T00:00:00"/>
    <s v="Fire"/>
    <n v="1"/>
    <s v="Vinay"/>
    <s v="Ahmedabad"/>
    <s v="Property / BI"/>
    <x v="0"/>
    <n v="27258.799999999999"/>
    <d v="2019-09-01T00:00:00"/>
    <s v="Brokerage"/>
    <s v="Renewal"/>
    <m/>
    <d v="2020-01-22T00:00:00"/>
  </r>
  <r>
    <s v="Shivam Shah"/>
    <n v="3.1030411181E+17"/>
    <s v="Inactive"/>
    <d v="2018-09-01T00:00:00"/>
    <d v="2019-08-31T00:00:00"/>
    <s v="Fire"/>
    <n v="1"/>
    <s v="Vinay"/>
    <s v="Ahmedabad"/>
    <s v="Property / BI"/>
    <x v="0"/>
    <n v="5105.2"/>
    <d v="2018-09-01T00:00:00"/>
    <s v="Brokerage"/>
    <s v="Inception"/>
    <m/>
    <d v="2020-01-22T00:00:00"/>
  </r>
  <r>
    <s v="Bhavna Bhandari"/>
    <s v="MD004600"/>
    <s v="Active"/>
    <d v="2020-01-17T00:00:00"/>
    <d v="2020-01-22T00:00:00"/>
    <s v="Employee Benefits"/>
    <n v="1"/>
    <s v="Vinay"/>
    <s v="Ahmedabad"/>
    <s v="Small Medium Enterpries (SME)"/>
    <x v="2"/>
    <n v="95.85"/>
    <d v="2020-01-17T00:00:00"/>
    <s v="Brokerage"/>
    <s v="Inception"/>
    <m/>
    <d v="2020-01-22T00:00:00"/>
  </r>
  <r>
    <s v="Tarun Shah"/>
    <n v="3.1030411181E+17"/>
    <s v="Active"/>
    <d v="2018-09-01T00:00:00"/>
    <d v="2019-08-31T00:00:00"/>
    <s v="Fire"/>
    <n v="1"/>
    <s v="Vinay"/>
    <s v="Ahmedabad"/>
    <s v="Property / BI"/>
    <x v="0"/>
    <n v="153.76"/>
    <d v="2018-09-01T00:00:00"/>
    <s v="Brokerage"/>
    <s v="Inception"/>
    <m/>
    <d v="2020-01-22T00:00:00"/>
  </r>
  <r>
    <s v="Hemant Chauhan"/>
    <n v="3.1030411181E+17"/>
    <s v="Active"/>
    <d v="2018-09-01T00:00:00"/>
    <d v="2019-08-31T00:00:00"/>
    <s v="Fire"/>
    <n v="1"/>
    <s v="Vinay"/>
    <s v="Ahmedabad"/>
    <s v="Property / BI"/>
    <x v="0"/>
    <n v="3842.38"/>
    <d v="2018-09-01T00:00:00"/>
    <s v="Brokerage"/>
    <s v="Inception"/>
    <m/>
    <d v="2020-01-22T00:00:00"/>
  </r>
  <r>
    <s v="Geeta Verma"/>
    <s v="0865085175 00 00"/>
    <s v="Active"/>
    <d v="2019-09-12T00:00:00"/>
    <d v="2020-09-11T00:00:00"/>
    <s v="Marine"/>
    <n v="1"/>
    <s v="Vinay"/>
    <s v="Ahmedabad"/>
    <s v="Small Medium Enterpries (SME)"/>
    <x v="0"/>
    <n v="3300"/>
    <d v="2019-09-12T00:00:00"/>
    <s v="Brokerage"/>
    <s v="Inception"/>
    <m/>
    <d v="2020-01-22T00:00:00"/>
  </r>
  <r>
    <s v="Ashok Patel"/>
    <s v="2002/160095852/00/000"/>
    <s v="Active"/>
    <d v="2018-11-01T00:00:00"/>
    <d v="2019-10-31T00:00:00"/>
    <s v="Marine"/>
    <n v="1"/>
    <s v="Vinay"/>
    <s v="Ahmedabad"/>
    <s v="Marine"/>
    <x v="0"/>
    <n v="7424.84"/>
    <d v="2018-11-01T00:00:00"/>
    <s v="Brokerage"/>
    <s v="Renewal"/>
    <m/>
    <d v="2020-01-22T00:00:00"/>
  </r>
  <r>
    <s v="Gayatri Reddy"/>
    <n v="22214171"/>
    <s v="Inactive"/>
    <d v="2017-11-01T00:00:00"/>
    <d v="2018-10-31T00:00:00"/>
    <s v="Marine"/>
    <n v="1"/>
    <s v="Vinay"/>
    <s v="Ahmedabad"/>
    <s v="Marine"/>
    <x v="0"/>
    <n v="55687.5"/>
    <d v="2017-11-01T00:00:00"/>
    <s v="Brokerage"/>
    <s v="Lapse"/>
    <s v="OTHR â€“ Other"/>
    <d v="2020-01-22T00:00:00"/>
  </r>
  <r>
    <s v="Snehal Patel"/>
    <n v="22341873"/>
    <s v="Active"/>
    <d v="2018-09-12T00:00:00"/>
    <d v="2019-09-11T00:00:00"/>
    <s v="Marine"/>
    <n v="5"/>
    <s v="Juli"/>
    <s v="Ahmedabad"/>
    <s v="Marine"/>
    <x v="0"/>
    <n v="8745.18"/>
    <d v="2018-09-12T00:00:00"/>
    <s v="Brokerage"/>
    <s v="Inception"/>
    <m/>
    <d v="2020-01-22T00:00:00"/>
  </r>
  <r>
    <s v="Vivek Yadav"/>
    <s v="'21300031180100007178"/>
    <s v="Active"/>
    <d v="2019-02-15T00:00:00"/>
    <d v="2020-02-14T00:00:00"/>
    <s v="Motor"/>
    <n v="9"/>
    <s v="Manish Sharma"/>
    <s v="Ahmedabad"/>
    <s v="Motor"/>
    <x v="2"/>
    <n v="10578.39"/>
    <d v="2019-02-15T00:00:00"/>
    <s v="Brokerage"/>
    <s v="Inception"/>
    <m/>
    <d v="2020-01-22T00:00:00"/>
  </r>
  <r>
    <s v="Kiran Saxena"/>
    <s v="'310300111910000395"/>
    <s v="Active"/>
    <d v="2019-09-01T00:00:00"/>
    <d v="2020-08-31T00:00:00"/>
    <s v="Fire"/>
    <n v="1"/>
    <s v="Vinay"/>
    <s v="Ahmedabad"/>
    <s v="Property / BI"/>
    <x v="0"/>
    <n v="10279.51"/>
    <d v="2019-09-01T00:00:00"/>
    <s v="Brokerage"/>
    <s v="Renewal"/>
    <m/>
    <d v="2020-01-22T00:00:00"/>
  </r>
  <r>
    <s v="Uday Reddy"/>
    <n v="3.1030411181E+17"/>
    <s v="Inactive"/>
    <d v="2018-09-01T00:00:00"/>
    <d v="2019-08-31T00:00:00"/>
    <s v="Fire"/>
    <n v="1"/>
    <s v="Vinay"/>
    <s v="Ahmedabad"/>
    <s v="Property / BI"/>
    <x v="0"/>
    <n v="610.77"/>
    <d v="2018-09-01T00:00:00"/>
    <s v="Brokerage"/>
    <s v="Inception"/>
    <m/>
    <d v="2020-01-22T00:00:00"/>
  </r>
  <r>
    <s v="Anita Pandit"/>
    <n v="301004265"/>
    <s v="Inactive"/>
    <d v="2018-03-09T00:00:00"/>
    <d v="2019-03-08T00:00:00"/>
    <s v="Liability"/>
    <n v="12"/>
    <s v="Shivani Sharma"/>
    <s v="Ahmedabad"/>
    <s v="Global Client Network (GNB Inward)"/>
    <x v="0"/>
    <n v="25000"/>
    <d v="2018-03-09T00:00:00"/>
    <s v="Brokerage"/>
    <s v="Inception"/>
    <m/>
    <d v="2020-01-22T00:00:00"/>
  </r>
  <r>
    <s v="Hina Malhotra"/>
    <s v="0301004265-1"/>
    <s v="Active"/>
    <d v="2019-03-09T00:00:00"/>
    <d v="2020-03-08T00:00:00"/>
    <s v="Liability"/>
    <n v="3"/>
    <s v="Animesh Rawat"/>
    <s v="Ahmedabad"/>
    <s v="Global Client Network (GNB Inward)"/>
    <x v="0"/>
    <n v="23750"/>
    <d v="2019-03-09T00:00:00"/>
    <s v="Brokerage"/>
    <s v="Renewal"/>
    <m/>
    <d v="2020-01-22T00:00:00"/>
  </r>
  <r>
    <s v="Alka Patel"/>
    <n v="195269000000"/>
    <s v="Inactive"/>
    <d v="2018-11-10T00:00:00"/>
    <d v="2019-11-09T00:00:00"/>
    <s v="Employee Benefits"/>
    <n v="13"/>
    <s v="Vididt Saha"/>
    <s v="Ahmedabad"/>
    <s v="Employee Benefits (EB)"/>
    <x v="2"/>
    <n v="0"/>
    <d v="2018-11-10T00:00:00"/>
    <s v="Brokerage"/>
    <s v="Inception"/>
    <m/>
    <d v="2020-01-22T00:00:00"/>
  </r>
  <r>
    <s v="Shruti Roy"/>
    <n v="2.4122020718290002E+18"/>
    <s v="Inactive"/>
    <d v="2018-01-12T00:00:00"/>
    <d v="2019-01-11T00:00:00"/>
    <s v="Marine"/>
    <n v="13"/>
    <s v="Vididt Saha"/>
    <s v="Ahmedabad"/>
    <s v="Marine"/>
    <x v="2"/>
    <n v="10395"/>
    <d v="2018-01-12T00:00:00"/>
    <s v="Brokerage"/>
    <s v="Endorsement"/>
    <m/>
    <d v="2020-01-22T00:00:00"/>
  </r>
  <r>
    <s v="Archana Singh"/>
    <n v="2.4122020718290002E+18"/>
    <s v="Inactive"/>
    <d v="2018-01-12T00:00:00"/>
    <d v="2019-01-11T00:00:00"/>
    <s v="Marine"/>
    <n v="13"/>
    <s v="Vididt Saha"/>
    <s v="Ahmedabad"/>
    <s v="Marine"/>
    <x v="2"/>
    <n v="0"/>
    <m/>
    <s v="Brokerage "/>
    <s v="Endorsement"/>
    <m/>
    <d v="2020-01-22T00:00:00"/>
  </r>
  <r>
    <s v="Mukul Goyal"/>
    <s v="2412 2020 7182 9001 000"/>
    <s v="Inactive"/>
    <d v="2019-01-12T00:00:00"/>
    <d v="2020-01-11T00:00:00"/>
    <s v="Marine"/>
    <n v="13"/>
    <s v="Vididt Saha"/>
    <s v="Ahmedabad"/>
    <s v="Marine"/>
    <x v="2"/>
    <n v="15592.5"/>
    <d v="2019-01-12T00:00:00"/>
    <s v="Brokerage"/>
    <s v="Renewal"/>
    <m/>
    <d v="2020-01-22T00:00:00"/>
  </r>
  <r>
    <s v="Namita Bajaj"/>
    <n v="2.4122020718290002E+18"/>
    <s v="Active"/>
    <d v="2020-01-12T00:00:00"/>
    <d v="2021-01-11T00:00:00"/>
    <s v="Marine"/>
    <n v="13"/>
    <s v="Vididt Saha"/>
    <s v="Ahmedabad"/>
    <s v="Marine"/>
    <x v="2"/>
    <n v="11310.75"/>
    <d v="2020-01-12T00:00:00"/>
    <s v="Brokerage"/>
    <s v="Renewal"/>
    <m/>
    <d v="2020-01-22T00:00:00"/>
  </r>
  <r>
    <s v="Nikita Joshi"/>
    <s v="4101191100000008-00"/>
    <s v="Active"/>
    <d v="2019-11-10T00:00:00"/>
    <d v="2020-11-09T00:00:00"/>
    <s v="Employee Benefits"/>
    <n v="13"/>
    <s v="Vididt Saha"/>
    <s v="Ahmedabad"/>
    <s v="Employee Benefits (EB)"/>
    <x v="0"/>
    <n v="48928.73"/>
    <d v="2019-11-10T00:00:00"/>
    <s v="Brokerage"/>
    <s v="Renewal"/>
    <m/>
    <d v="2020-01-22T00:00:00"/>
  </r>
  <r>
    <s v="Tejas Shah"/>
    <n v="41050127"/>
    <s v="Active"/>
    <d v="2019-11-25T00:00:00"/>
    <d v="2020-11-24T00:00:00"/>
    <s v="Liability"/>
    <n v="13"/>
    <s v="Vididt Saha"/>
    <s v="Ahmedabad"/>
    <s v="Liability"/>
    <x v="0"/>
    <n v="18975"/>
    <d v="2019-11-25T00:00:00"/>
    <s v="Brokerage"/>
    <s v="Inception"/>
    <m/>
    <d v="2020-01-22T00:00:00"/>
  </r>
  <r>
    <s v="Kavita Rao"/>
    <n v="43169018"/>
    <s v="Inactive"/>
    <d v="2018-07-11T00:00:00"/>
    <d v="2019-07-10T00:00:00"/>
    <s v="Miscellaneous"/>
    <n v="13"/>
    <s v="Vididt Saha"/>
    <s v="Ahmedabad"/>
    <s v="Liability"/>
    <x v="2"/>
    <n v="16170"/>
    <d v="2018-07-11T00:00:00"/>
    <s v="Brokerage"/>
    <s v="Lapse"/>
    <s v="NOLN - No Longer Needed"/>
    <d v="2020-01-22T00:00:00"/>
  </r>
  <r>
    <s v="Hemant Shah"/>
    <n v="54522170"/>
    <s v="Active"/>
    <d v="2019-07-09T00:00:00"/>
    <d v="2020-07-08T00:00:00"/>
    <s v="Employee Benefits"/>
    <n v="13"/>
    <s v="Vididt Saha"/>
    <s v="Ahmedabad"/>
    <s v="Employee Benefits (EB)"/>
    <x v="2"/>
    <n v="9056.48"/>
    <d v="2019-07-09T00:00:00"/>
    <s v="Brokerage"/>
    <s v="Inception"/>
    <m/>
    <d v="2020-01-22T00:00:00"/>
  </r>
  <r>
    <s v="Prabhat Naik"/>
    <s v="OG-19-2202-4001-00004011"/>
    <s v="Inactive"/>
    <d v="2018-07-10T00:00:00"/>
    <d v="2019-07-09T00:00:00"/>
    <s v="Fire"/>
    <n v="13"/>
    <s v="Vididt Saha"/>
    <s v="Ahmedabad"/>
    <s v="Property / BI"/>
    <x v="2"/>
    <n v="18357"/>
    <d v="2018-07-10T00:00:00"/>
    <s v="Brokerage"/>
    <s v="Lapse"/>
    <s v="OTHR â€“ Other"/>
    <d v="2020-01-22T00:00:00"/>
  </r>
  <r>
    <s v="Nikhil Tiwari"/>
    <s v="OG-19-2202-4004-00000044"/>
    <s v="Inactive"/>
    <d v="2018-07-10T00:00:00"/>
    <d v="2019-07-09T00:00:00"/>
    <s v="Fire"/>
    <n v="13"/>
    <s v="Vididt Saha"/>
    <s v="Ahmedabad"/>
    <s v="Property / BI"/>
    <x v="2"/>
    <n v="10416.75"/>
    <d v="2018-07-10T00:00:00"/>
    <s v="Brokerage"/>
    <s v="Inception"/>
    <m/>
    <d v="2020-01-22T00:00:00"/>
  </r>
  <r>
    <s v="Neha Trivedi"/>
    <s v="OG-19-2202-4010-00000816"/>
    <s v="Inactive"/>
    <d v="2018-07-10T00:00:00"/>
    <d v="2019-07-09T00:00:00"/>
    <s v="Miscellaneous"/>
    <n v="13"/>
    <s v="Vididt Saha"/>
    <s v="Ahmedabad"/>
    <s v="Property / BI"/>
    <x v="2"/>
    <n v="1232"/>
    <d v="2018-07-10T00:00:00"/>
    <s v="Brokerage"/>
    <s v="Inception"/>
    <m/>
    <d v="2020-01-22T00:00:00"/>
  </r>
  <r>
    <s v="Shruti Agarwal"/>
    <s v="OG-19-2202-4010-00000817"/>
    <s v="Inactive"/>
    <d v="2018-07-10T00:00:00"/>
    <d v="2019-07-09T00:00:00"/>
    <s v="Miscellaneous"/>
    <n v="13"/>
    <s v="Vididt Saha"/>
    <s v="Ahmedabad"/>
    <s v="Property / BI"/>
    <x v="2"/>
    <n v="242.5"/>
    <d v="2018-07-10T00:00:00"/>
    <s v="Brokerage"/>
    <s v="Lapse"/>
    <s v="NOLN - No Longer Needed"/>
    <d v="2020-01-22T00:00:00"/>
  </r>
  <r>
    <s v="Kiran Desai"/>
    <s v="OG-19-2202-4011-00000127"/>
    <s v="Active"/>
    <d v="2019-01-09T00:00:00"/>
    <d v="2020-01-08T00:00:00"/>
    <s v="Miscellaneous"/>
    <n v="13"/>
    <s v="Vididt Saha"/>
    <s v="Ahmedabad"/>
    <s v="Property / BI"/>
    <x v="2"/>
    <n v="643.75"/>
    <d v="2019-01-09T00:00:00"/>
    <s v="Brokerage"/>
    <s v="Inception"/>
    <m/>
    <d v="2020-01-22T00:00:00"/>
  </r>
  <r>
    <s v="Kanchan Iyer"/>
    <s v="OG-20-2202-4004-00000043"/>
    <s v="Active"/>
    <d v="2019-05-16T00:00:00"/>
    <d v="2020-05-15T00:00:00"/>
    <s v="Fire"/>
    <n v="13"/>
    <s v="Vididt Saha"/>
    <s v="Ahmedabad"/>
    <s v="Property / BI"/>
    <x v="2"/>
    <n v="4595.75"/>
    <d v="2019-05-16T00:00:00"/>
    <s v="Brokerage"/>
    <s v="Inception"/>
    <m/>
    <d v="2020-01-22T00:00:00"/>
  </r>
  <r>
    <s v="Bhavna Kapoor"/>
    <s v="OG-20-2202-4004-00000066"/>
    <s v="Active"/>
    <d v="2019-07-11T00:00:00"/>
    <d v="2020-07-10T00:00:00"/>
    <s v="Fire"/>
    <n v="13"/>
    <s v="Vididt Saha"/>
    <s v="Ahmedabad"/>
    <s v="Property / BI"/>
    <x v="2"/>
    <n v="21905.200000000001"/>
    <d v="2019-07-11T00:00:00"/>
    <s v="Brokerage"/>
    <s v="Renewal"/>
    <m/>
    <d v="2020-01-22T00:00:00"/>
  </r>
  <r>
    <s v="Ritika Reddy"/>
    <s v="OG-20-2202-4010-00000924"/>
    <s v="Active"/>
    <d v="2019-07-10T00:00:00"/>
    <d v="2020-07-09T00:00:00"/>
    <s v="Miscellaneous"/>
    <n v="13"/>
    <s v="Vididt Saha"/>
    <s v="Ahmedabad"/>
    <s v="Property / BI"/>
    <x v="2"/>
    <n v="337.5"/>
    <d v="2019-07-10T00:00:00"/>
    <s v="Brokerage"/>
    <s v="Renewal"/>
    <m/>
    <d v="2020-01-22T00:00:00"/>
  </r>
  <r>
    <s v="Suresh Das"/>
    <s v="0000000007919559-01"/>
    <s v="Active"/>
    <d v="2018-12-28T00:00:00"/>
    <d v="2019-12-27T00:00:00"/>
    <s v="Marine"/>
    <n v="1"/>
    <s v="Vinay"/>
    <s v="Ahmedabad"/>
    <s v="Marine"/>
    <x v="2"/>
    <n v="6112.76"/>
    <d v="2018-12-28T00:00:00"/>
    <s v="Brokerage"/>
    <s v="Endorsement"/>
    <m/>
    <d v="2020-01-22T00:00:00"/>
  </r>
  <r>
    <s v="Shikha Chauhan"/>
    <s v="0000000007919559-01"/>
    <s v="Active"/>
    <d v="2018-12-28T00:00:00"/>
    <d v="2019-12-27T00:00:00"/>
    <s v="Marine"/>
    <n v="1"/>
    <s v="Vinay"/>
    <s v="Ahmedabad"/>
    <s v="Marine"/>
    <x v="2"/>
    <n v="0"/>
    <m/>
    <s v="Brokerage "/>
    <s v="Endorsement"/>
    <m/>
    <d v="2020-01-22T00:00:00"/>
  </r>
  <r>
    <s v="Hemant Dutta"/>
    <s v="2001/161822918/00/000"/>
    <s v="Active"/>
    <d v="2018-12-06T00:00:00"/>
    <d v="2019-12-05T00:00:00"/>
    <s v="Marine"/>
    <n v="1"/>
    <s v="Vinay"/>
    <s v="Ahmedabad"/>
    <s v="Marine"/>
    <x v="2"/>
    <n v="10725"/>
    <d v="2018-12-06T00:00:00"/>
    <s v="Brokerage"/>
    <s v="Inception"/>
    <m/>
    <d v="2020-01-22T00:00:00"/>
  </r>
  <r>
    <s v="Dinesh Pandey"/>
    <n v="2280014070"/>
    <s v="Active"/>
    <d v="2019-03-09T00:00:00"/>
    <d v="2020-03-08T00:00:00"/>
    <s v="Liability"/>
    <n v="2"/>
    <s v="Abhinav Shivam"/>
    <s v="Ahmedabad"/>
    <s v="Liability"/>
    <x v="2"/>
    <n v="27530.38"/>
    <d v="2019-03-09T00:00:00"/>
    <s v="Brokerage"/>
    <s v="Inception"/>
    <m/>
    <d v="2020-01-22T00:00:00"/>
  </r>
  <r>
    <s v="Archana Iyer"/>
    <n v="3.1030411181E+17"/>
    <s v="Inactive"/>
    <d v="2018-04-01T00:00:00"/>
    <d v="2019-03-31T00:00:00"/>
    <s v="Miscellaneous"/>
    <n v="1"/>
    <s v="Vinay"/>
    <s v="Ahmedabad"/>
    <s v="Property / BI"/>
    <x v="2"/>
    <n v="106033.91"/>
    <d v="2018-04-01T00:00:00"/>
    <s v="Brokerage"/>
    <s v="Lapse"/>
    <s v="COMP - Competition"/>
    <d v="2020-01-22T00:00:00"/>
  </r>
  <r>
    <s v="Deepak Menon"/>
    <n v="3.1030411181E+17"/>
    <s v="Active"/>
    <d v="2019-01-08T00:00:00"/>
    <d v="2019-04-07T00:00:00"/>
    <s v="Fire"/>
    <n v="2"/>
    <s v="Abhinav Shivam"/>
    <s v="Ahmedabad"/>
    <s v="Small Medium Enterpries (SME)"/>
    <x v="2"/>
    <n v="3978.77"/>
    <d v="2019-01-08T00:00:00"/>
    <s v="Brokerage"/>
    <s v="Inception"/>
    <m/>
    <d v="2020-01-22T00:00:00"/>
  </r>
  <r>
    <s v="Vivek Gupta"/>
    <n v="3.1030411181E+17"/>
    <s v="Active"/>
    <d v="2019-01-19T00:00:00"/>
    <d v="2019-04-18T00:00:00"/>
    <s v="Fire"/>
    <n v="2"/>
    <s v="Abhinav Shivam"/>
    <s v="Ahmedabad"/>
    <s v="Small Medium Enterpries (SME)"/>
    <x v="2"/>
    <n v="9453.35"/>
    <d v="2019-01-19T00:00:00"/>
    <s v="Brokerage"/>
    <s v="Inception"/>
    <m/>
    <d v="2020-01-22T00:00:00"/>
  </r>
  <r>
    <s v="Rina Shah"/>
    <n v="3.1030411181E+17"/>
    <s v="Active"/>
    <d v="2019-02-26T00:00:00"/>
    <d v="2019-04-25T00:00:00"/>
    <s v="Fire"/>
    <n v="2"/>
    <s v="Abhinav Shivam"/>
    <s v="Ahmedabad"/>
    <s v="Small Medium Enterpries (SME)"/>
    <x v="2"/>
    <n v="4156.79"/>
    <d v="2019-02-26T00:00:00"/>
    <s v="Brokerage"/>
    <s v="Inception"/>
    <m/>
    <d v="2020-01-22T00:00:00"/>
  </r>
  <r>
    <s v="Uday Prasad"/>
    <n v="43187020"/>
    <s v="Active"/>
    <d v="2019-04-22T00:00:00"/>
    <d v="2020-04-21T00:00:00"/>
    <s v="Miscellaneous"/>
    <n v="13"/>
    <s v="Vididt Saha"/>
    <s v="Ahmedabad"/>
    <s v="Liability"/>
    <x v="1"/>
    <n v="7451.24"/>
    <d v="2019-04-22T00:00:00"/>
    <s v="Brokerage"/>
    <s v="Inception"/>
    <m/>
    <d v="2020-01-22T00:00:00"/>
  </r>
  <r>
    <s v="Nitin Kapoor"/>
    <s v="0865082088 00"/>
    <s v="Active"/>
    <d v="2018-12-07T00:00:00"/>
    <d v="2019-12-06T00:00:00"/>
    <s v="Marine"/>
    <n v="1"/>
    <s v="Vinay"/>
    <s v="Ahmedabad"/>
    <s v="Marine"/>
    <x v="2"/>
    <n v="3630"/>
    <d v="2019-12-17T00:00:00"/>
    <s v="Brokerage"/>
    <s v="Inception"/>
    <m/>
    <d v="2020-01-22T00:00:00"/>
  </r>
  <r>
    <s v="Harish Kaul"/>
    <s v="0865081032 00"/>
    <s v="Active"/>
    <d v="2018-09-11T00:00:00"/>
    <d v="2019-09-10T00:00:00"/>
    <s v="Marine"/>
    <n v="1"/>
    <s v="Vinay"/>
    <s v="Ahmedabad"/>
    <s v="Marine"/>
    <x v="0"/>
    <n v="1072.5"/>
    <d v="2019-09-11T00:00:00"/>
    <s v="Brokerage"/>
    <s v="Inception"/>
    <m/>
    <d v="2020-01-22T00:00:00"/>
  </r>
  <r>
    <s v="Neeraj Arora"/>
    <n v="1.11200441808E+19"/>
    <s v="Active"/>
    <d v="2019-01-03T00:00:00"/>
    <d v="2019-10-02T00:00:00"/>
    <s v="Engineering"/>
    <n v="3"/>
    <s v="Animesh Rawat"/>
    <s v="Ahmedabad"/>
    <s v="Global Client Network (GNB Inward)"/>
    <x v="2"/>
    <n v="49401.25"/>
    <d v="2019-01-03T00:00:00"/>
    <s v="Brokerage"/>
    <s v="Inception"/>
    <m/>
    <d v="2020-01-22T00:00:00"/>
  </r>
  <r>
    <s v="Mukul Kumar"/>
    <n v="1.11200441808E+19"/>
    <s v="Active"/>
    <d v="2019-01-03T00:00:00"/>
    <d v="2019-10-02T00:00:00"/>
    <s v="Engineering"/>
    <n v="3"/>
    <s v="Animesh Rawat"/>
    <s v="Ahmedabad"/>
    <s v="Global Client Network (GNB Inward)"/>
    <x v="2"/>
    <n v="49401.25"/>
    <d v="2019-01-03T00:00:00"/>
    <s v="Brokerage"/>
    <s v="Inception"/>
    <m/>
    <d v="2020-01-22T00:00:00"/>
  </r>
  <r>
    <s v="Gauri Naik"/>
    <n v="1.1120044185899999E+19"/>
    <s v="Active"/>
    <d v="2019-01-03T00:00:00"/>
    <d v="2019-10-02T00:00:00"/>
    <s v="Engineering"/>
    <n v="3"/>
    <s v="Animesh Rawat"/>
    <s v="Ahmedabad"/>
    <s v="Global Client Network (GNB Inward)"/>
    <x v="2"/>
    <n v="45000"/>
    <d v="2019-01-03T00:00:00"/>
    <s v="Brokerage"/>
    <s v="Inception"/>
    <m/>
    <d v="2020-01-22T00:00:00"/>
  </r>
  <r>
    <s v="Harish Menon"/>
    <s v="4016/138636598/01/000"/>
    <s v="Inactive"/>
    <d v="2018-09-30T00:00:00"/>
    <d v="2019-09-29T00:00:00"/>
    <s v="Employee Benefits"/>
    <n v="10"/>
    <s v="Mark"/>
    <s v="Ahmedabad"/>
    <s v="Employee Benefits (EB)"/>
    <x v="0"/>
    <n v="54000"/>
    <d v="2018-09-30T00:00:00"/>
    <s v="Brokerage"/>
    <s v="Inception"/>
    <m/>
    <d v="2020-01-22T00:00:00"/>
  </r>
  <r>
    <s v="Mohit Gupta"/>
    <s v="2005/162167315/00/000"/>
    <s v="Active"/>
    <d v="2018-12-14T00:00:00"/>
    <d v="2019-12-13T00:00:00"/>
    <s v="Marine"/>
    <n v="12"/>
    <s v="Shivani Sharma"/>
    <s v="Ahmedabad"/>
    <s v="Global Client Network (GNB Inward)"/>
    <x v="2"/>
    <n v="5659.5"/>
    <d v="2018-12-14T00:00:00"/>
    <s v="Brokerage"/>
    <s v="Inception"/>
    <m/>
    <d v="2020-01-22T00:00:00"/>
  </r>
  <r>
    <s v="Amit Arora"/>
    <n v="3.1142027482102001E+18"/>
    <s v="Active"/>
    <d v="2019-04-11T00:00:00"/>
    <d v="2020-04-09T00:00:00"/>
    <s v="Miscellaneous"/>
    <n v="3"/>
    <s v="Animesh Rawat"/>
    <s v="Ahmedabad"/>
    <s v="Global Client Network (GNB Inward)"/>
    <x v="2"/>
    <n v="2942.25"/>
    <d v="2019-04-11T00:00:00"/>
    <s v="Brokerage"/>
    <s v="Inception"/>
    <m/>
    <d v="2020-01-22T00:00:00"/>
  </r>
  <r>
    <s v="Nikita Pandit"/>
    <s v="0000000007404252-01"/>
    <s v="Inactive"/>
    <d v="2018-10-24T00:00:00"/>
    <d v="2019-10-23T00:00:00"/>
    <s v="Miscellaneous"/>
    <n v="3"/>
    <s v="Animesh Rawat"/>
    <s v="Ahmedabad"/>
    <s v="Global Client Network (GNB Inward)"/>
    <x v="0"/>
    <n v="6335.5"/>
    <d v="2019-10-23T00:00:00"/>
    <s v="Brokerage"/>
    <s v="Inception"/>
    <m/>
    <d v="2020-01-22T00:00:00"/>
  </r>
  <r>
    <s v="Vikas Gupta"/>
    <s v="0000000007404252-02"/>
    <s v="Active"/>
    <d v="2019-10-26T00:00:00"/>
    <d v="2020-10-25T00:00:00"/>
    <s v="Miscellaneous"/>
    <n v="3"/>
    <s v="Animesh Rawat"/>
    <s v="Ahmedabad"/>
    <s v="Global Client Network (GNB Inward)"/>
    <x v="0"/>
    <n v="2436.75"/>
    <d v="2019-10-26T00:00:00"/>
    <s v="Brokerage"/>
    <s v="Renewal"/>
    <m/>
    <d v="2020-01-22T00:00:00"/>
  </r>
  <r>
    <s v="Kamlesh Pillai"/>
    <n v="10619837"/>
    <s v="Inactive"/>
    <d v="2018-10-24T00:00:00"/>
    <d v="2019-10-23T00:00:00"/>
    <s v="Fire"/>
    <n v="3"/>
    <s v="Animesh Rawat"/>
    <s v="Ahmedabad"/>
    <s v="Global Client Network (GNB Inward)"/>
    <x v="0"/>
    <n v="18321.23"/>
    <d v="2018-10-24T00:00:00"/>
    <s v="Brokerage"/>
    <s v="Inception"/>
    <m/>
    <d v="2020-01-22T00:00:00"/>
  </r>
  <r>
    <s v="Umesh Agarwal"/>
    <s v="0000000010619837-01"/>
    <s v="Active"/>
    <d v="2019-10-25T00:00:00"/>
    <d v="2020-10-24T00:00:00"/>
    <s v="Fire"/>
    <n v="3"/>
    <s v="Animesh Rawat"/>
    <s v="Ahmedabad"/>
    <s v="Global Client Network (GNB Inward)"/>
    <x v="0"/>
    <n v="26967.39"/>
    <d v="2019-10-25T00:00:00"/>
    <s v="Brokerage"/>
    <s v="Renewal"/>
    <m/>
    <d v="2020-01-22T00:00:00"/>
  </r>
  <r>
    <s v="Ankur Gandhi"/>
    <s v="1011/142530053/00/000"/>
    <s v="Active"/>
    <d v="2018-01-01T00:00:00"/>
    <d v="2018-12-31T00:00:00"/>
    <s v="Miscellaneous"/>
    <n v="3"/>
    <s v="Animesh Rawat"/>
    <s v="Ahmedabad"/>
    <s v="Global Client Network (GNB Inward)"/>
    <x v="0"/>
    <n v="159956.76"/>
    <d v="2018-01-01T00:00:00"/>
    <s v="Brokerage"/>
    <s v="Inception"/>
    <m/>
    <d v="2020-01-22T00:00:00"/>
  </r>
  <r>
    <s v="Dinesh Kaul"/>
    <s v="1011/142530053/01/000"/>
    <s v="Active"/>
    <d v="2019-01-01T00:00:00"/>
    <d v="2019-12-31T00:00:00"/>
    <s v="Fire"/>
    <n v="3"/>
    <s v="Animesh Rawat"/>
    <s v="Ahmedabad"/>
    <s v="Global Client Network (GNB Inward)"/>
    <x v="0"/>
    <n v="0"/>
    <d v="2019-01-01T00:00:00"/>
    <s v="Brokerage"/>
    <s v="Inception"/>
    <m/>
    <d v="2020-01-22T00:00:00"/>
  </r>
  <r>
    <s v="Ankur Naik"/>
    <n v="1.60261822110088E+17"/>
    <s v="Active"/>
    <d v="2018-05-31T00:00:00"/>
    <d v="2018-09-30T00:00:00"/>
    <s v="Engineering"/>
    <n v="3"/>
    <s v="Animesh Rawat"/>
    <s v="Ahmedabad"/>
    <s v="Global Client Network (GNB Inward)"/>
    <x v="0"/>
    <n v="8268.1299999999992"/>
    <d v="2018-09-30T00:00:00"/>
    <s v="Brokerage"/>
    <s v="Inception"/>
    <m/>
    <d v="2020-01-22T00:00:00"/>
  </r>
  <r>
    <s v="DDD"/>
    <n v="3.1142029974272998E+18"/>
    <s v="Active"/>
    <d v="2019-09-19T00:00:00"/>
    <d v="2020-09-18T00:00:00"/>
    <s v="Miscellaneous"/>
    <n v="3"/>
    <s v="Animesh Rawat"/>
    <s v="Ahmedabad"/>
    <s v="Global Client Network (GNB Inward)"/>
    <x v="0"/>
    <n v="12500.13"/>
    <d v="2019-09-19T00:00:00"/>
    <s v="Brokerage"/>
    <s v="Renewal"/>
    <m/>
    <d v="2020-01-22T00:00:00"/>
  </r>
  <r>
    <s v="DDD"/>
    <n v="3.1242015891005998E+18"/>
    <s v="Active"/>
    <d v="2018-03-27T00:00:00"/>
    <d v="2019-03-26T00:00:00"/>
    <s v="Miscellaneous"/>
    <n v="3"/>
    <s v="Animesh Rawat"/>
    <s v="Ahmedabad"/>
    <s v="Global Client Network (GNB Inward)"/>
    <x v="0"/>
    <n v="10584.15"/>
    <d v="2018-03-27T00:00:00"/>
    <s v="Brokerage"/>
    <s v="Inception"/>
    <m/>
    <d v="2020-01-22T00:00:00"/>
  </r>
  <r>
    <s v="DDD"/>
    <n v="3.1242015891005998E+18"/>
    <s v="Active"/>
    <d v="2019-01-02T00:00:00"/>
    <d v="2019-12-31T00:00:00"/>
    <s v="Liability"/>
    <n v="3"/>
    <s v="Animesh Rawat"/>
    <s v="Ahmedabad"/>
    <s v="Global Client Network (GNB Inward)"/>
    <x v="0"/>
    <n v="14393.8"/>
    <d v="2019-01-02T00:00:00"/>
    <s v="Brokerage"/>
    <s v="Inception"/>
    <m/>
    <d v="2020-01-22T00:00:00"/>
  </r>
  <r>
    <s v="DDD"/>
    <s v="4006/131284920/01/000"/>
    <s v="Inactive"/>
    <d v="2018-05-15T00:00:00"/>
    <d v="2019-05-14T00:00:00"/>
    <s v="Miscellaneous"/>
    <n v="3"/>
    <s v="Animesh Rawat"/>
    <s v="Ahmedabad"/>
    <s v="Global Client Network (GNB Inward)"/>
    <x v="0"/>
    <n v="691.85"/>
    <d v="2018-05-15T00:00:00"/>
    <s v="Brokerage"/>
    <s v="Inception"/>
    <m/>
    <d v="2020-01-22T00:00:00"/>
  </r>
  <r>
    <s v="DDD"/>
    <s v="4006/131284920/02/000"/>
    <s v="Active"/>
    <d v="2019-05-15T00:00:00"/>
    <d v="2020-05-14T00:00:00"/>
    <s v="Miscellaneous"/>
    <n v="3"/>
    <s v="Animesh Rawat"/>
    <s v="Ahmedabad"/>
    <s v="Global Client Network (GNB Inward)"/>
    <x v="0"/>
    <n v="691.85"/>
    <d v="2019-05-15T00:00:00"/>
    <s v="Brokerage"/>
    <s v="Renewal"/>
    <m/>
    <d v="2020-01-22T00:00:00"/>
  </r>
  <r>
    <s v="DDD"/>
    <s v="4010/121054809/01/000"/>
    <s v="Active"/>
    <d v="2017-08-22T00:00:00"/>
    <d v="2018-08-21T00:00:00"/>
    <s v="Miscellaneous"/>
    <n v="3"/>
    <s v="Animesh Rawat"/>
    <s v="Ahmedabad"/>
    <s v="Global Client Network (GNB Inward)"/>
    <x v="0"/>
    <n v="10964.79"/>
    <d v="2017-08-22T00:00:00"/>
    <s v="Brokerage"/>
    <s v="Inception"/>
    <m/>
    <d v="2020-01-22T00:00:00"/>
  </r>
  <r>
    <s v="DDD"/>
    <s v="4010/121054809/02/000"/>
    <s v="Inactive"/>
    <d v="2018-08-22T00:00:00"/>
    <d v="2019-08-21T00:00:00"/>
    <s v="Miscellaneous"/>
    <n v="3"/>
    <s v="Animesh Rawat"/>
    <s v="Ahmedabad"/>
    <s v="Global Client Network (GNB Inward)"/>
    <x v="0"/>
    <n v="13630.7"/>
    <d v="2019-08-21T00:00:00"/>
    <s v="Brokerage"/>
    <s v="Inception"/>
    <m/>
    <d v="2020-01-22T00:00:00"/>
  </r>
  <r>
    <s v="DDD"/>
    <s v="4016 138636598 02 000"/>
    <s v="Active"/>
    <d v="2019-09-30T00:00:00"/>
    <d v="2020-09-29T00:00:00"/>
    <s v="Employee Benefits"/>
    <n v="10"/>
    <s v="Mark"/>
    <s v="Ahmedabad"/>
    <s v="Employee Benefits (EB)"/>
    <x v="0"/>
    <n v="123750"/>
    <d v="2019-09-30T00:00:00"/>
    <s v="Brokerage"/>
    <s v="Renewal"/>
    <m/>
    <d v="2020-01-22T00:00:00"/>
  </r>
  <r>
    <s v="DDD"/>
    <s v="5002/131802941/01/000"/>
    <s v="Inactive"/>
    <d v="2018-05-26T00:00:00"/>
    <d v="2019-05-25T00:00:00"/>
    <s v="Engineering"/>
    <n v="12"/>
    <s v="Shivani Sharma"/>
    <s v="Ahmedabad"/>
    <s v="Global Client Network (GNB Inward)"/>
    <x v="0"/>
    <n v="869.63"/>
    <d v="2018-05-26T00:00:00"/>
    <s v="Brokerage"/>
    <s v="Inception"/>
    <m/>
    <d v="2020-01-22T00:00:00"/>
  </r>
  <r>
    <s v="DDD"/>
    <s v="5002/131802941/02/000"/>
    <s v="Active"/>
    <d v="2019-05-26T00:00:00"/>
    <d v="2020-05-25T00:00:00"/>
    <s v="Engineering"/>
    <n v="3"/>
    <s v="Animesh Rawat"/>
    <s v="Ahmedabad"/>
    <s v="Global Client Network (GNB Inward)"/>
    <x v="0"/>
    <n v="869.63"/>
    <d v="2019-05-26T00:00:00"/>
    <s v="Brokerage"/>
    <s v="Renewal"/>
    <m/>
    <d v="2020-01-22T00:00:00"/>
  </r>
  <r>
    <s v="DDD"/>
    <s v="LQX/I2508418/71/02/005537"/>
    <s v="Active"/>
    <d v="2018-02-16T00:00:00"/>
    <d v="2019-02-15T00:00:00"/>
    <s v="Liability"/>
    <n v="3"/>
    <s v="Animesh Rawat"/>
    <s v="Ahmedabad"/>
    <s v="Global Client Network (GNB Inward)"/>
    <x v="0"/>
    <n v="1562.5"/>
    <d v="2019-02-16T00:00:00"/>
    <s v="Brokerage"/>
    <s v="Inception"/>
    <m/>
    <d v="2020-01-22T00:00:00"/>
  </r>
  <r>
    <s v="DDD"/>
    <s v="NBI Domestic"/>
    <s v="Inactive"/>
    <d v="2019-01-01T00:00:00"/>
    <d v="2019-12-31T00:00:00"/>
    <s v="Miscellaneous"/>
    <n v="4"/>
    <s v="Gilbert"/>
    <s v="Ahmedabad"/>
    <s v="Trade Credit &amp;amp; Political Risk"/>
    <x v="0"/>
    <n v="43367"/>
    <d v="2019-07-01T00:00:00"/>
    <s v="Brokerage"/>
    <s v="Lapse"/>
    <s v="GMAN â€“ Global Mandate"/>
    <d v="2020-01-22T00:00:00"/>
  </r>
  <r>
    <s v="DDD"/>
    <s v="NBI Domestic"/>
    <s v="Inactive"/>
    <d v="2019-01-01T00:00:00"/>
    <d v="2019-12-31T00:00:00"/>
    <s v="Miscellaneous"/>
    <n v="4"/>
    <s v="Gilbert"/>
    <s v="Ahmedabad"/>
    <s v="Trade Credit &amp;amp; Political Risk"/>
    <x v="0"/>
    <n v="43367"/>
    <d v="2019-10-01T00:00:00"/>
    <s v="Brokerage"/>
    <s v="Lapse"/>
    <s v="GMAN â€“ Global Mandate"/>
    <d v="2020-01-22T00:00:00"/>
  </r>
  <r>
    <s v="DDD"/>
    <s v="NBI Domestic"/>
    <s v="Inactive"/>
    <d v="2019-01-01T00:00:00"/>
    <d v="2019-12-31T00:00:00"/>
    <s v="Miscellaneous"/>
    <n v="4"/>
    <s v="Gilbert"/>
    <s v="Ahmedabad"/>
    <s v="Trade Credit &amp;amp; Political Risk"/>
    <x v="0"/>
    <n v="65050.5"/>
    <d v="2019-01-01T00:00:00"/>
    <s v="Brokerage"/>
    <s v="Lapse"/>
    <s v="GMAN â€“ Global Mandate"/>
    <d v="2020-01-22T00:00:00"/>
  </r>
  <r>
    <s v="DDD"/>
    <s v="NBI Domestic"/>
    <s v="Inactive"/>
    <d v="2019-01-01T00:00:00"/>
    <d v="2019-12-31T00:00:00"/>
    <s v="Miscellaneous"/>
    <n v="4"/>
    <s v="Gilbert"/>
    <s v="Ahmedabad"/>
    <s v="Trade Credit &amp;amp; Political Risk"/>
    <x v="0"/>
    <n v="65050.5"/>
    <d v="2019-04-01T00:00:00"/>
    <s v="Brokerage"/>
    <s v="Lapse"/>
    <s v="GMAN â€“ Global Mandate"/>
    <d v="2020-01-22T00:00:00"/>
  </r>
  <r>
    <s v="DDD"/>
    <s v="NBI Export"/>
    <s v="Inactive"/>
    <d v="2019-01-01T00:00:00"/>
    <d v="2019-12-31T00:00:00"/>
    <s v="Miscellaneous"/>
    <n v="4"/>
    <s v="Gilbert"/>
    <s v="Ahmedabad"/>
    <s v="Trade Credit &amp;amp; Political Risk"/>
    <x v="0"/>
    <n v="10824.4"/>
    <d v="2019-07-01T00:00:00"/>
    <s v="Brokerage"/>
    <s v="Lapse"/>
    <s v="GMAN â€“ Global Mandate"/>
    <d v="2020-01-22T00:00:00"/>
  </r>
  <r>
    <s v="DDD"/>
    <s v="NBI Export"/>
    <s v="Inactive"/>
    <d v="2019-01-01T00:00:00"/>
    <d v="2019-12-31T00:00:00"/>
    <s v="Miscellaneous"/>
    <n v="4"/>
    <s v="Gilbert"/>
    <s v="Ahmedabad"/>
    <s v="Trade Credit &amp;amp; Political Risk"/>
    <x v="0"/>
    <n v="10824.4"/>
    <d v="2019-10-01T00:00:00"/>
    <s v="Brokerage"/>
    <s v="Lapse"/>
    <s v="GMAN â€“ Global Mandate"/>
    <d v="2020-01-22T00:00:00"/>
  </r>
  <r>
    <s v="DDD"/>
    <s v="NBI Export"/>
    <s v="Inactive"/>
    <d v="2019-01-01T00:00:00"/>
    <d v="2019-12-31T00:00:00"/>
    <s v="Miscellaneous"/>
    <n v="4"/>
    <s v="Gilbert"/>
    <s v="Ahmedabad"/>
    <s v="Trade Credit &amp;amp; Political Risk"/>
    <x v="0"/>
    <n v="16236.6"/>
    <d v="2019-01-01T00:00:00"/>
    <s v="Brokerage"/>
    <s v="Lapse"/>
    <s v="GMAN â€“ Global Mandate"/>
    <d v="2020-01-22T00:00:00"/>
  </r>
  <r>
    <s v="DDD"/>
    <s v="NBI Export"/>
    <s v="Inactive"/>
    <d v="2019-01-01T00:00:00"/>
    <d v="2019-12-31T00:00:00"/>
    <s v="Miscellaneous"/>
    <n v="4"/>
    <s v="Gilbert"/>
    <s v="Ahmedabad"/>
    <s v="Trade Credit &amp;amp; Political Risk"/>
    <x v="0"/>
    <n v="16236.6"/>
    <d v="2019-04-01T00:00:00"/>
    <s v="Brokerage"/>
    <s v="Lapse"/>
    <s v="GMAN â€“ Global Mandate"/>
    <d v="2020-01-22T00:00:00"/>
  </r>
  <r>
    <s v="DDD"/>
    <s v="OG-18-2202-1018-00000036"/>
    <s v="Inactive"/>
    <d v="2018-01-01T00:00:00"/>
    <d v="2018-12-31T00:00:00"/>
    <s v="Marine"/>
    <n v="3"/>
    <s v="Animesh Rawat"/>
    <s v="Ahmedabad"/>
    <s v="Global Client Network (GNB Inward)"/>
    <x v="0"/>
    <n v="36612.18"/>
    <d v="2018-01-01T00:00:00"/>
    <s v="Brokerage"/>
    <s v="Inception"/>
    <m/>
    <d v="2020-01-22T00:00:00"/>
  </r>
  <r>
    <s v="DDD"/>
    <s v="OG-18-2202-3383-00000005"/>
    <s v="Inactive"/>
    <d v="2018-01-01T00:00:00"/>
    <d v="2018-12-31T00:00:00"/>
    <s v="Liability"/>
    <n v="3"/>
    <s v="Animesh Rawat"/>
    <s v="Ahmedabad"/>
    <s v="Global Client Network (GNB Inward)"/>
    <x v="0"/>
    <n v="28735.65"/>
    <d v="2018-01-01T00:00:00"/>
    <s v="Brokerage"/>
    <s v="Inception"/>
    <m/>
    <d v="2020-01-22T00:00:00"/>
  </r>
  <r>
    <s v="DDD"/>
    <s v="OG-19-2202-1018-00000052"/>
    <s v="Active"/>
    <d v="2019-01-01T00:00:00"/>
    <d v="2019-12-31T00:00:00"/>
    <s v="Marine"/>
    <n v="3"/>
    <s v="Animesh Rawat"/>
    <s v="Ahmedabad"/>
    <s v="Global Client Network (GNB Inward)"/>
    <x v="0"/>
    <n v="53277.919999999998"/>
    <d v="2019-01-01T00:00:00"/>
    <s v="Brokerage"/>
    <s v="Renewal"/>
    <m/>
    <d v="2020-01-22T00:00:00"/>
  </r>
  <r>
    <s v="DDD"/>
    <s v="OG-19-2202-3383-00000007"/>
    <s v="Active"/>
    <d v="2019-01-01T00:00:00"/>
    <d v="2019-12-31T00:00:00"/>
    <s v="Liability"/>
    <n v="3"/>
    <s v="Animesh Rawat"/>
    <s v="Ahmedabad"/>
    <s v="Global Client Network (GNB Inward)"/>
    <x v="0"/>
    <n v="30048.080000000002"/>
    <d v="2019-01-01T00:00:00"/>
    <s v="Brokerage"/>
    <s v="Renewal"/>
    <m/>
    <d v="2020-01-22T00:00:00"/>
  </r>
  <r>
    <s v="DDD"/>
    <s v="PROHLN000005719"/>
    <s v="Active"/>
    <d v="2019-01-21T00:00:00"/>
    <d v="2020-01-20T00:00:00"/>
    <s v="Employee Benefits"/>
    <n v="3"/>
    <s v="Animesh Rawat"/>
    <s v="Ahmedabad"/>
    <s v="Global Client Network (GNB Inward)"/>
    <x v="2"/>
    <n v="15084.15"/>
    <d v="2019-01-21T00:00:00"/>
    <s v="Brokerage"/>
    <s v="Inception"/>
    <m/>
    <d v="2020-01-22T00:00:00"/>
  </r>
  <r>
    <s v="DDD"/>
    <n v="2250007836"/>
    <s v="Inactive"/>
    <d v="2018-02-07T00:00:00"/>
    <d v="2019-02-06T00:00:00"/>
    <s v="Miscellaneous"/>
    <n v="1"/>
    <s v="Vinay"/>
    <s v="Ahmedabad"/>
    <s v="Liability"/>
    <x v="2"/>
    <n v="1013.88"/>
    <d v="2018-02-07T00:00:00"/>
    <s v="Brokerage"/>
    <s v="Lapse"/>
    <s v="NOLN - No Longer Needed"/>
    <d v="2020-01-22T00:00:00"/>
  </r>
  <r>
    <s v="DDD"/>
    <n v="2250007837"/>
    <s v="Inactive"/>
    <d v="2018-02-07T00:00:00"/>
    <d v="2019-02-06T00:00:00"/>
    <s v="Miscellaneous"/>
    <n v="1"/>
    <s v="Vinay"/>
    <s v="Ahmedabad"/>
    <s v="Liability"/>
    <x v="2"/>
    <n v="1601.5"/>
    <d v="2018-02-07T00:00:00"/>
    <s v="Brokerage"/>
    <s v="Lapse"/>
    <s v="JCOM - Job Completed"/>
    <d v="2020-01-22T00:00:00"/>
  </r>
  <r>
    <s v="DDD"/>
    <s v="'2309003157"/>
    <s v="Inactive"/>
    <d v="2018-07-03T00:00:00"/>
    <d v="2019-07-02T00:00:00"/>
    <s v="Liability"/>
    <n v="1"/>
    <s v="Vinay"/>
    <s v="Ahmedabad"/>
    <s v="Liability"/>
    <x v="0"/>
    <n v="37500"/>
    <d v="2018-07-03T00:00:00"/>
    <s v="Brokerage"/>
    <s v="Inception"/>
    <m/>
    <d v="2020-01-22T00:00:00"/>
  </r>
  <r>
    <s v="DDD"/>
    <s v="'2309003157 01"/>
    <s v="Active"/>
    <d v="2019-07-03T00:00:00"/>
    <d v="2020-07-02T00:00:00"/>
    <s v="Liability"/>
    <n v="1"/>
    <s v="Vinay"/>
    <s v="Ahmedabad"/>
    <s v="Liability"/>
    <x v="0"/>
    <n v="35000"/>
    <d v="2019-07-03T00:00:00"/>
    <s v="Brokerage"/>
    <s v="Renewal"/>
    <m/>
    <d v="2020-01-22T00:00:00"/>
  </r>
  <r>
    <s v="DDD"/>
    <n v="9.9000011160099996E+19"/>
    <s v="Inactive"/>
    <d v="2017-02-26T00:00:00"/>
    <d v="2018-02-25T00:00:00"/>
    <s v="Fire"/>
    <n v="1"/>
    <s v="Vinay"/>
    <s v="Ahmedabad"/>
    <s v="Construction, Power &amp; Infrastructure"/>
    <x v="2"/>
    <n v="992.51"/>
    <d v="2018-02-25T00:00:00"/>
    <s v="Brokerage"/>
    <s v="Lapse"/>
    <s v="OTHR â€“ Other"/>
    <d v="2020-01-22T00:00:00"/>
  </r>
  <r>
    <s v="DDD"/>
    <n v="9.9000011160099996E+19"/>
    <s v="Active"/>
    <d v="2017-02-26T00:00:00"/>
    <d v="2018-02-25T00:00:00"/>
    <s v="Fire"/>
    <n v="1"/>
    <s v="Vinay"/>
    <s v="Ahmedabad"/>
    <s v="Construction, Power &amp; Infrastructure"/>
    <x v="2"/>
    <n v="992.51"/>
    <d v="2018-02-25T00:00:00"/>
    <s v="Brokerage"/>
    <s v="Inception"/>
    <m/>
    <d v="2020-01-22T00:00:00"/>
  </r>
  <r>
    <s v="DDD"/>
    <n v="9.9000011160099996E+19"/>
    <s v="Inactive"/>
    <d v="2016-12-31T00:00:00"/>
    <d v="2017-12-30T00:00:00"/>
    <s v="Fire"/>
    <n v="1"/>
    <s v="Vinay"/>
    <s v="Ahmedabad"/>
    <s v="Construction, Power &amp; Infrastructure"/>
    <x v="2"/>
    <n v="377079.15"/>
    <d v="2016-12-31T00:00:00"/>
    <s v="Brokerage"/>
    <s v="Lapse"/>
    <s v="OTHR â€“ Other"/>
    <d v="2020-01-22T00:00:00"/>
  </r>
  <r>
    <s v="DDD"/>
    <n v="9.9000011170100003E+19"/>
    <s v="Inactive"/>
    <d v="2017-06-28T00:00:00"/>
    <d v="2018-06-27T00:00:00"/>
    <s v="Fire"/>
    <n v="1"/>
    <s v="Vinay"/>
    <s v="Ahmedabad"/>
    <s v="Construction, Power &amp; Infrastructure"/>
    <x v="2"/>
    <n v="61251.58"/>
    <d v="2017-06-28T00:00:00"/>
    <s v="Brokerage"/>
    <s v="Inception"/>
    <m/>
    <d v="2020-01-22T00:00:00"/>
  </r>
  <r>
    <s v="DDD"/>
    <s v="99000011170100000135'"/>
    <s v="Inactive"/>
    <d v="2017-06-28T00:00:00"/>
    <d v="2018-06-27T00:00:00"/>
    <s v="Fire"/>
    <n v="1"/>
    <s v="Vinay"/>
    <s v="Ahmedabad"/>
    <s v="Construction, Power &amp; Infrastructure"/>
    <x v="2"/>
    <n v="62070.81"/>
    <d v="2017-06-28T00:00:00"/>
    <s v="Brokerage"/>
    <s v="Inception"/>
    <m/>
    <d v="2020-01-22T00:00:00"/>
  </r>
  <r>
    <s v="DDD"/>
    <n v="9.9000011170100003E+19"/>
    <s v="Active"/>
    <d v="2017-07-06T00:00:00"/>
    <d v="2018-07-05T00:00:00"/>
    <s v="Fire"/>
    <n v="1"/>
    <s v="Vinay"/>
    <s v="Ahmedabad"/>
    <s v="Construction, Power &amp; Infrastructure"/>
    <x v="2"/>
    <n v="1261.8399999999999"/>
    <d v="2017-07-06T00:00:00"/>
    <s v="Brokerage"/>
    <s v="Inception"/>
    <m/>
    <d v="2020-01-22T00:00:00"/>
  </r>
  <r>
    <s v="DDD"/>
    <n v="9.9000011170100003E+19"/>
    <s v="Inactive"/>
    <d v="2018-01-01T00:00:00"/>
    <d v="2018-12-31T00:00:00"/>
    <s v="Fire"/>
    <n v="1"/>
    <s v="Vinay"/>
    <s v="Ahmedabad"/>
    <s v="Construction, Power &amp; Infrastructure"/>
    <x v="2"/>
    <n v="349157.16"/>
    <d v="2018-01-01T00:00:00"/>
    <s v="Brokerage"/>
    <s v="Lapse"/>
    <s v="OTHR â€“ Other"/>
    <d v="2020-01-22T00:00:00"/>
  </r>
  <r>
    <s v="DDD"/>
    <s v="'99000011170100000412"/>
    <s v="Inactive"/>
    <d v="2018-02-14T00:00:00"/>
    <d v="2019-02-13T00:00:00"/>
    <s v="Fire"/>
    <n v="1"/>
    <s v="Vinay"/>
    <s v="Ahmedabad"/>
    <s v="Property / BI"/>
    <x v="0"/>
    <n v="107689.68"/>
    <d v="2018-02-14T00:00:00"/>
    <s v="Brokerage"/>
    <s v="Inception"/>
    <m/>
    <d v="2020-01-22T00:00:00"/>
  </r>
  <r>
    <s v="DDD"/>
    <s v="99000011180100000149'"/>
    <s v="Inactive"/>
    <d v="2018-07-20T00:00:00"/>
    <d v="2019-07-19T00:00:00"/>
    <s v="Fire"/>
    <n v="1"/>
    <s v="Vinay"/>
    <s v="Ahmedabad"/>
    <s v="Property / BI"/>
    <x v="0"/>
    <n v="5417.97"/>
    <d v="2018-07-20T00:00:00"/>
    <s v="Brokerage"/>
    <s v="Inception"/>
    <m/>
    <d v="2020-01-22T00:00:00"/>
  </r>
  <r>
    <s v="DDD"/>
    <n v="9.9000011180099994E+19"/>
    <s v="Inactive"/>
    <d v="2018-06-28T00:00:00"/>
    <d v="2019-06-27T00:00:00"/>
    <s v="Fire"/>
    <n v="1"/>
    <s v="Vinay"/>
    <s v="Ahmedabad"/>
    <s v="Construction, Power &amp; Infrastructure"/>
    <x v="2"/>
    <n v="61936.46"/>
    <d v="2018-06-28T00:00:00"/>
    <s v="Brokerage"/>
    <s v="Renewal"/>
    <m/>
    <d v="2020-01-22T00:00:00"/>
  </r>
  <r>
    <s v="DDD"/>
    <n v="9.9000011180099994E+19"/>
    <s v="Inactive"/>
    <d v="2018-06-28T00:00:00"/>
    <d v="2019-06-27T00:00:00"/>
    <s v="Fire"/>
    <n v="1"/>
    <s v="Vinay"/>
    <s v="Ahmedabad"/>
    <s v="Construction, Power &amp; Infrastructure"/>
    <x v="2"/>
    <n v="56276.26"/>
    <d v="2018-06-28T00:00:00"/>
    <s v="Brokerage"/>
    <s v="Renewal"/>
    <m/>
    <d v="2020-01-22T00:00:00"/>
  </r>
  <r>
    <s v="DDD"/>
    <s v="'99000011180100000284"/>
    <s v="Active"/>
    <d v="2019-01-01T00:00:00"/>
    <d v="2019-12-31T00:00:00"/>
    <s v="Fire"/>
    <n v="1"/>
    <s v="Vinay"/>
    <s v="Ahmedabad"/>
    <s v="Construction, Power &amp; Infrastructure"/>
    <x v="2"/>
    <n v="399509.89"/>
    <d v="2019-01-01T00:00:00"/>
    <s v="Brokerage"/>
    <s v="Renewal"/>
    <m/>
    <d v="2020-01-22T00:00:00"/>
  </r>
  <r>
    <s v="DDD"/>
    <s v="'99000011180100000303"/>
    <s v="Active"/>
    <d v="2019-01-16T00:00:00"/>
    <d v="2020-01-15T00:00:00"/>
    <s v="Fire"/>
    <n v="1"/>
    <s v="Vinay"/>
    <s v="Ahmedabad"/>
    <s v="Property / BI"/>
    <x v="0"/>
    <n v="98931.05"/>
    <d v="2019-01-16T00:00:00"/>
    <s v="Brokerage"/>
    <s v="Inception"/>
    <m/>
    <d v="2020-01-22T00:00:00"/>
  </r>
  <r>
    <s v="DDD"/>
    <s v="'99000011180100000339"/>
    <s v="Active"/>
    <d v="2019-02-14T00:00:00"/>
    <d v="2020-02-13T00:00:00"/>
    <s v="Fire"/>
    <n v="1"/>
    <s v="Vinay"/>
    <s v="Ahmedabad"/>
    <s v="Property / BI"/>
    <x v="0"/>
    <n v="1610"/>
    <d v="2019-02-14T00:00:00"/>
    <s v="Brokerage"/>
    <s v="Inception"/>
    <m/>
    <d v="2020-01-22T00:00:00"/>
  </r>
  <r>
    <s v="DDD"/>
    <s v="'99000011180100000340"/>
    <s v="Active"/>
    <d v="2019-02-14T00:00:00"/>
    <d v="2020-02-13T00:00:00"/>
    <s v="Fire"/>
    <n v="1"/>
    <s v="Vinay"/>
    <s v="Ahmedabad"/>
    <s v="Property / BI"/>
    <x v="0"/>
    <n v="131090.46"/>
    <d v="2019-02-26T00:00:00"/>
    <s v="Brokerage"/>
    <s v="Renewal"/>
    <m/>
    <d v="2020-01-22T00:00:00"/>
  </r>
  <r>
    <s v="DDD"/>
    <s v="'99000011180100000352"/>
    <s v="Active"/>
    <d v="2019-03-16T00:00:00"/>
    <d v="2020-03-15T00:00:00"/>
    <s v="Fire"/>
    <n v="1"/>
    <s v="Vinay"/>
    <s v="Ahmedabad"/>
    <s v="Property / BI"/>
    <x v="0"/>
    <n v="2056.4299999999998"/>
    <d v="2019-03-16T00:00:00"/>
    <s v="Brokerage"/>
    <s v="Inception"/>
    <m/>
    <d v="2020-01-22T00:00:00"/>
  </r>
  <r>
    <s v="DDD"/>
    <s v="'99000011180100000353"/>
    <s v="Active"/>
    <d v="2019-03-12T00:00:00"/>
    <d v="2020-03-11T00:00:00"/>
    <s v="Fire"/>
    <n v="1"/>
    <s v="Vinay"/>
    <s v="Ahmedabad"/>
    <s v="Property / BI"/>
    <x v="0"/>
    <n v="1194.28"/>
    <d v="2019-03-12T00:00:00"/>
    <s v="Brokerage"/>
    <s v="Inception"/>
    <m/>
    <d v="2020-01-22T00:00:00"/>
  </r>
  <r>
    <s v="DDD"/>
    <s v="'99000011190100000078"/>
    <s v="Active"/>
    <d v="2019-06-28T00:00:00"/>
    <d v="2020-06-27T00:00:00"/>
    <s v="Fire"/>
    <n v="1"/>
    <s v="Vinay"/>
    <s v="Ahmedabad"/>
    <s v="Construction, Power &amp; Infrastructure"/>
    <x v="2"/>
    <n v="75395.039999999994"/>
    <d v="2019-06-28T00:00:00"/>
    <s v="Brokerage"/>
    <s v="Renewal"/>
    <m/>
    <d v="2020-01-22T00:00:00"/>
  </r>
  <r>
    <s v="DDD"/>
    <s v="'99000011190100000079"/>
    <s v="Active"/>
    <d v="2019-06-28T00:00:00"/>
    <d v="2020-06-27T00:00:00"/>
    <s v="Fire"/>
    <n v="1"/>
    <s v="Vinay"/>
    <s v="Ahmedabad"/>
    <s v="Construction, Power &amp; Infrastructure"/>
    <x v="2"/>
    <n v="53595"/>
    <d v="2019-06-28T00:00:00"/>
    <s v="Brokerage"/>
    <s v="Renewal"/>
    <m/>
    <d v="2020-01-22T00:00:00"/>
  </r>
  <r>
    <s v="DDD"/>
    <s v="'99000011190100000121"/>
    <s v="Active"/>
    <d v="2019-07-20T00:00:00"/>
    <d v="2020-07-19T00:00:00"/>
    <s v="Fire"/>
    <n v="1"/>
    <s v="Vinay"/>
    <s v="Ahmedabad"/>
    <s v="Property / BI"/>
    <x v="0"/>
    <n v="6595.25"/>
    <d v="2019-07-20T00:00:00"/>
    <s v="Brokerage"/>
    <s v="Renewal"/>
    <m/>
    <d v="2020-01-22T00:00:00"/>
  </r>
  <r>
    <s v="DDD"/>
    <n v="9.9000021170200003E+19"/>
    <s v="Active"/>
    <d v="2017-06-06T00:00:00"/>
    <d v="2018-06-05T00:00:00"/>
    <s v="Marine"/>
    <n v="1"/>
    <s v="Vinay"/>
    <s v="Ahmedabad"/>
    <s v="Construction, Power &amp; Infrastructure"/>
    <x v="2"/>
    <n v="2887.38"/>
    <d v="2017-07-06T00:00:00"/>
    <s v="Brokerage"/>
    <s v="Inception"/>
    <m/>
    <d v="2020-01-22T00:00:00"/>
  </r>
  <r>
    <s v="DDD"/>
    <s v="'99000021180100000013"/>
    <s v="Active"/>
    <d v="2019-01-29T00:00:00"/>
    <d v="2020-01-28T00:00:00"/>
    <s v="Marine"/>
    <n v="1"/>
    <s v="Vinay"/>
    <s v="Ahmedabad"/>
    <s v="Marine"/>
    <x v="2"/>
    <n v="11539.77"/>
    <d v="2019-01-29T00:00:00"/>
    <s v="Brokerage"/>
    <s v="Inception"/>
    <m/>
    <d v="2020-01-22T00:00:00"/>
  </r>
  <r>
    <s v="DDD"/>
    <s v="'99000036181500000054"/>
    <s v="Active"/>
    <d v="2019-02-01T00:00:00"/>
    <d v="2020-01-31T00:00:00"/>
    <s v="Liability"/>
    <n v="1"/>
    <s v="Vinay"/>
    <s v="Ahmedabad"/>
    <s v="Liability"/>
    <x v="2"/>
    <n v="21875"/>
    <d v="2019-02-01T00:00:00"/>
    <s v="Brokerage"/>
    <s v="Inception"/>
    <m/>
    <d v="2020-01-22T00:00:00"/>
  </r>
  <r>
    <s v="DDD"/>
    <n v="9.9000044160300007E+19"/>
    <s v="Active"/>
    <d v="2017-01-09T00:00:00"/>
    <d v="2019-01-08T00:00:00"/>
    <s v="Engineering"/>
    <n v="1"/>
    <s v="Vinay"/>
    <s v="Ahmedabad"/>
    <s v="Construction, Power &amp; Infrastructure"/>
    <x v="2"/>
    <n v="8588.56"/>
    <d v="2017-04-10T00:00:00"/>
    <s v="Brokerage"/>
    <s v="Inception"/>
    <m/>
    <d v="2020-01-22T00:00:00"/>
  </r>
  <r>
    <s v="DDD"/>
    <n v="9.9000044160300007E+19"/>
    <s v="Active"/>
    <d v="2017-02-08T00:00:00"/>
    <d v="2018-08-07T00:00:00"/>
    <s v="Engineering"/>
    <n v="1"/>
    <s v="Vinay"/>
    <s v="Ahmedabad"/>
    <s v="Construction, Power &amp; Infrastructure"/>
    <x v="2"/>
    <n v="3050.6"/>
    <d v="2017-02-08T00:00:00"/>
    <s v="Brokerage"/>
    <s v="Inception"/>
    <m/>
    <d v="2020-01-22T00:00:00"/>
  </r>
  <r>
    <s v="DDD"/>
    <n v="9.9000044160300007E+19"/>
    <s v="Active"/>
    <d v="2017-02-08T00:00:00"/>
    <d v="2018-08-07T00:00:00"/>
    <s v="Engineering"/>
    <n v="1"/>
    <s v="Vinay"/>
    <s v="Ahmedabad"/>
    <s v="Construction, Power &amp; Infrastructure"/>
    <x v="2"/>
    <n v="3050.6"/>
    <d v="2017-08-07T00:00:00"/>
    <s v="Brokerage"/>
    <s v="Inception"/>
    <m/>
    <d v="2020-01-22T00:00:00"/>
  </r>
  <r>
    <s v="DDD"/>
    <n v="9.9000044160300007E+19"/>
    <s v="Active"/>
    <d v="2016-10-20T00:00:00"/>
    <d v="2018-04-19T00:00:00"/>
    <s v="Engineering"/>
    <n v="1"/>
    <s v="Vinay"/>
    <s v="Ahmedabad"/>
    <s v="Construction, Power &amp; Infrastructure"/>
    <x v="2"/>
    <n v="40309.5"/>
    <d v="2017-12-30T00:00:00"/>
    <s v="Brokerage"/>
    <s v="Inception"/>
    <m/>
    <d v="2020-01-22T00:00:00"/>
  </r>
  <r>
    <s v="DDD"/>
    <n v="9.9000044160300007E+19"/>
    <s v="Active"/>
    <d v="2016-10-20T00:00:00"/>
    <d v="2018-04-19T00:00:00"/>
    <s v="Engineering"/>
    <n v="1"/>
    <s v="Vinay"/>
    <s v="Ahmedabad"/>
    <s v="Construction, Power &amp; Infrastructure"/>
    <x v="2"/>
    <n v="40309.68"/>
    <d v="2017-02-06T00:00:00"/>
    <s v="Brokerage"/>
    <s v="Inception"/>
    <m/>
    <d v="2020-01-22T00:00:00"/>
  </r>
  <r>
    <s v="DDD"/>
    <n v="9.9000044160300007E+19"/>
    <s v="Active"/>
    <d v="2016-10-20T00:00:00"/>
    <d v="2018-04-19T00:00:00"/>
    <s v="Engineering"/>
    <n v="1"/>
    <s v="Vinay"/>
    <s v="Ahmedabad"/>
    <s v="Construction, Power &amp; Infrastructure"/>
    <x v="2"/>
    <n v="40309.68"/>
    <d v="2017-05-25T00:00:00"/>
    <s v="Brokerage"/>
    <s v="Inception"/>
    <m/>
    <d v="2020-01-22T00:00:00"/>
  </r>
  <r>
    <s v="DDD"/>
    <n v="9.9000044160300007E+19"/>
    <s v="Active"/>
    <d v="2016-10-20T00:00:00"/>
    <d v="2018-04-19T00:00:00"/>
    <s v="Engineering"/>
    <n v="1"/>
    <s v="Vinay"/>
    <s v="Ahmedabad"/>
    <s v="Construction, Power &amp; Infrastructure"/>
    <x v="2"/>
    <n v="40309.68"/>
    <d v="2017-09-12T00:00:00"/>
    <s v="Brokerage"/>
    <s v="Inception"/>
    <m/>
    <d v="2020-01-22T00:00:00"/>
  </r>
  <r>
    <s v="DDD"/>
    <n v="9.9000044160300007E+19"/>
    <s v="Active"/>
    <d v="2016-10-20T00:00:00"/>
    <d v="2018-04-19T00:00:00"/>
    <s v="Engineering"/>
    <n v="1"/>
    <s v="Vinay"/>
    <s v="Ahmedabad"/>
    <s v="Construction, Power &amp; Infrastructure"/>
    <x v="2"/>
    <n v="50909.599999999999"/>
    <d v="2016-10-20T00:00:00"/>
    <s v="Brokerage"/>
    <s v="Inception"/>
    <m/>
    <d v="2020-01-22T00:00:00"/>
  </r>
  <r>
    <s v="DDD"/>
    <n v="9.9000044160300007E+19"/>
    <s v="Active"/>
    <d v="2016-12-27T00:00:00"/>
    <d v="2018-07-26T00:00:00"/>
    <s v="Engineering"/>
    <n v="1"/>
    <s v="Vinay"/>
    <s v="Ahmedabad"/>
    <s v="Construction, Power &amp; Infrastructure"/>
    <x v="2"/>
    <n v="31079.56"/>
    <d v="2017-03-27T00:00:00"/>
    <s v="Brokerage"/>
    <s v="Inception"/>
    <m/>
    <d v="2020-01-22T00:00:00"/>
  </r>
  <r>
    <s v="DDD"/>
    <n v="9.9000044160300007E+19"/>
    <s v="Active"/>
    <d v="2016-12-27T00:00:00"/>
    <d v="2018-07-26T00:00:00"/>
    <s v="Engineering"/>
    <n v="1"/>
    <s v="Vinay"/>
    <s v="Ahmedabad"/>
    <s v="Construction, Power &amp; Infrastructure"/>
    <x v="2"/>
    <n v="31079.56"/>
    <d v="2017-06-27T00:00:00"/>
    <s v="Brokerage"/>
    <s v="Inception"/>
    <m/>
    <d v="2020-01-22T00:00:00"/>
  </r>
  <r>
    <s v="DDD"/>
    <n v="9.9000044160300007E+19"/>
    <s v="Active"/>
    <d v="2016-12-27T00:00:00"/>
    <d v="2018-07-26T00:00:00"/>
    <s v="Engineering"/>
    <n v="1"/>
    <s v="Vinay"/>
    <s v="Ahmedabad"/>
    <s v="Construction, Power &amp; Infrastructure"/>
    <x v="2"/>
    <n v="31079.56"/>
    <d v="2017-09-27T00:00:00"/>
    <s v="Brokerage"/>
    <s v="Inception"/>
    <m/>
    <d v="2020-01-22T00:00:00"/>
  </r>
  <r>
    <s v="DDD"/>
    <n v="9.9000044160300007E+19"/>
    <s v="Active"/>
    <d v="2016-12-27T00:00:00"/>
    <d v="2018-07-26T00:00:00"/>
    <s v="Engineering"/>
    <n v="1"/>
    <s v="Vinay"/>
    <s v="Ahmedabad"/>
    <s v="Construction, Power &amp; Infrastructure"/>
    <x v="2"/>
    <n v="31088.49"/>
    <d v="2017-12-27T00:00:00"/>
    <s v="Brokerage"/>
    <s v="Inception"/>
    <m/>
    <d v="2020-01-22T00:00:00"/>
  </r>
  <r>
    <s v="DDD"/>
    <n v="9.9000044160300007E+19"/>
    <s v="Active"/>
    <d v="2016-12-27T00:00:00"/>
    <d v="2018-07-26T00:00:00"/>
    <s v="Engineering"/>
    <n v="1"/>
    <s v="Vinay"/>
    <s v="Ahmedabad"/>
    <s v="Construction, Power &amp; Infrastructure"/>
    <x v="2"/>
    <n v="39249.53"/>
    <d v="2016-12-27T00:00:00"/>
    <s v="Brokerage"/>
    <s v="Inception"/>
    <m/>
    <d v="2020-01-22T00:00:00"/>
  </r>
  <r>
    <s v="DDD"/>
    <n v="9.9000044165800002E+19"/>
    <s v="Active"/>
    <d v="2017-03-29T00:00:00"/>
    <d v="2018-03-28T00:00:00"/>
    <s v="Miscellaneous"/>
    <n v="1"/>
    <s v="Vinay"/>
    <s v="Ahmedabad"/>
    <s v="Construction, Power &amp; Infrastructure"/>
    <x v="2"/>
    <n v="8961.75"/>
    <d v="2017-03-29T00:00:00"/>
    <s v="Brokerage"/>
    <s v="Inception"/>
    <m/>
    <d v="2020-01-22T00:00:00"/>
  </r>
  <r>
    <s v="DDD"/>
    <n v="9.9000044170400006E+19"/>
    <s v="Active"/>
    <d v="2017-08-07T00:00:00"/>
    <d v="2018-08-06T00:00:00"/>
    <s v="Engineering"/>
    <n v="1"/>
    <s v="Vinay"/>
    <s v="Ahmedabad"/>
    <s v="Construction, Power &amp; Infrastructure"/>
    <x v="2"/>
    <n v="877.71"/>
    <d v="2018-08-06T00:00:00"/>
    <s v="Brokerage"/>
    <s v="Inception"/>
    <m/>
    <d v="2020-01-22T00:00:00"/>
  </r>
  <r>
    <s v="DDD"/>
    <n v="9.9000044170699997E+19"/>
    <s v="Inactive"/>
    <d v="2017-06-17T00:00:00"/>
    <d v="2018-06-16T00:00:00"/>
    <s v="Engineering"/>
    <n v="1"/>
    <s v="Vinay"/>
    <s v="Ahmedabad"/>
    <s v="Construction, Power &amp; Infrastructure"/>
    <x v="2"/>
    <n v="8107.49"/>
    <d v="2018-07-16T00:00:00"/>
    <s v="Brokerage"/>
    <s v="Inception"/>
    <m/>
    <d v="2020-01-22T00:00:00"/>
  </r>
  <r>
    <s v="DDD"/>
    <n v="9.9000044170699997E+19"/>
    <s v="Active"/>
    <d v="2017-07-06T00:00:00"/>
    <d v="2018-07-05T00:00:00"/>
    <s v="Engineering"/>
    <n v="1"/>
    <s v="Vinay"/>
    <s v="Ahmedabad"/>
    <s v="Construction, Power &amp; Infrastructure"/>
    <x v="2"/>
    <n v="7398.74"/>
    <d v="2018-07-05T00:00:00"/>
    <s v="Brokerage"/>
    <s v="Inception"/>
    <m/>
    <d v="2020-01-22T00:00:00"/>
  </r>
  <r>
    <s v="DDD"/>
    <n v="9.9000044170699997E+19"/>
    <s v="Active"/>
    <d v="2017-10-09T00:00:00"/>
    <d v="2018-10-08T00:00:00"/>
    <s v="Engineering"/>
    <n v="1"/>
    <s v="Vinay"/>
    <s v="Ahmedabad"/>
    <s v="Construction, Power &amp; Infrastructure"/>
    <x v="2"/>
    <n v="15429.84"/>
    <d v="2017-10-09T00:00:00"/>
    <s v="Brokerage"/>
    <s v="Inception"/>
    <m/>
    <d v="2020-01-22T00:00:00"/>
  </r>
  <r>
    <s v="DDD"/>
    <s v="'99000044175800000017"/>
    <s v="Inactive"/>
    <d v="2018-02-14T00:00:00"/>
    <d v="2019-02-13T00:00:00"/>
    <s v="Miscellaneous"/>
    <n v="1"/>
    <s v="Vinay"/>
    <s v="Ahmedabad"/>
    <s v="Construction, Power &amp; Infrastructure"/>
    <x v="2"/>
    <n v="3120.25"/>
    <d v="2018-02-14T00:00:00"/>
    <s v="Brokerage"/>
    <s v="Inception"/>
    <m/>
    <d v="2020-01-22T00:00:00"/>
  </r>
  <r>
    <s v="DDD"/>
    <s v="'99000044180300000004"/>
    <s v="Inactive"/>
    <d v="2018-04-20T00:00:00"/>
    <d v="2019-04-19T00:00:00"/>
    <s v="Engineering"/>
    <n v="1"/>
    <s v="Vinay"/>
    <s v="Ahmedabad"/>
    <s v="Construction, Power &amp; Infrastructure"/>
    <x v="2"/>
    <n v="70725.990000000005"/>
    <d v="2018-04-20T00:00:00"/>
    <s v="Brokerage"/>
    <s v="Lapse"/>
    <s v="JCOM - Job Completed"/>
    <d v="2020-01-22T00:00:00"/>
  </r>
  <r>
    <s v="DDD"/>
    <s v="'99000044180300000009"/>
    <s v="Active"/>
    <d v="2018-04-30T00:00:00"/>
    <d v="2020-10-30T00:00:00"/>
    <s v="Engineering"/>
    <n v="1"/>
    <s v="Vinay"/>
    <s v="Ahmedabad"/>
    <s v="Construction, Power &amp; Infrastructure"/>
    <x v="2"/>
    <n v="4278.13"/>
    <d v="2019-12-27T00:00:00"/>
    <s v="Brokerage"/>
    <s v="Inception"/>
    <m/>
    <d v="2020-01-22T00:00:00"/>
  </r>
  <r>
    <s v="DDD"/>
    <s v="'99000044180300000009"/>
    <s v="Active"/>
    <d v="2018-04-30T00:00:00"/>
    <d v="2020-10-30T00:00:00"/>
    <s v="Engineering"/>
    <n v="1"/>
    <s v="Vinay"/>
    <s v="Ahmedabad"/>
    <s v="Construction, Power &amp; Infrastructure"/>
    <x v="2"/>
    <n v="4278.13"/>
    <d v="2020-04-06T00:00:00"/>
    <s v="Brokerage"/>
    <s v="Inception"/>
    <m/>
    <d v="2020-01-22T00:00:00"/>
  </r>
  <r>
    <s v="DDD"/>
    <s v="'99000044180300000009"/>
    <s v="Active"/>
    <d v="2018-04-30T00:00:00"/>
    <d v="2020-10-30T00:00:00"/>
    <s v="Engineering"/>
    <n v="1"/>
    <s v="Vinay"/>
    <s v="Ahmedabad"/>
    <s v="Construction, Power &amp; Infrastructure"/>
    <x v="2"/>
    <n v="4278.25"/>
    <d v="2020-07-16T00:00:00"/>
    <s v="Brokerage"/>
    <s v="Inception"/>
    <m/>
    <d v="2020-01-22T00:00:00"/>
  </r>
  <r>
    <s v="DDD"/>
    <s v="'99000044180300000009"/>
    <s v="Active"/>
    <d v="2018-04-30T00:00:00"/>
    <d v="2020-10-30T00:00:00"/>
    <s v="Engineering"/>
    <n v="1"/>
    <s v="Vinay"/>
    <s v="Ahmedabad"/>
    <s v="Construction, Power &amp; Infrastructure"/>
    <x v="2"/>
    <n v="4705.88"/>
    <d v="2018-08-09T00:00:00"/>
    <s v="Brokerage"/>
    <s v="Inception"/>
    <m/>
    <d v="2020-01-22T00:00:00"/>
  </r>
  <r>
    <s v="DDD"/>
    <s v="'99000044180300000009"/>
    <s v="Active"/>
    <d v="2018-04-30T00:00:00"/>
    <d v="2020-10-30T00:00:00"/>
    <s v="Engineering"/>
    <n v="1"/>
    <s v="Vinay"/>
    <s v="Ahmedabad"/>
    <s v="Construction, Power &amp; Infrastructure"/>
    <x v="2"/>
    <n v="4705.88"/>
    <d v="2018-11-18T00:00:00"/>
    <s v="Brokerage"/>
    <s v="Inception"/>
    <m/>
    <d v="2020-01-22T00:00:00"/>
  </r>
  <r>
    <s v="DDD"/>
    <s v="'99000044180300000009"/>
    <s v="Active"/>
    <d v="2018-04-30T00:00:00"/>
    <d v="2020-10-30T00:00:00"/>
    <s v="Engineering"/>
    <n v="1"/>
    <s v="Vinay"/>
    <s v="Ahmedabad"/>
    <s v="Construction, Power &amp; Infrastructure"/>
    <x v="2"/>
    <n v="4705.88"/>
    <d v="2019-02-27T00:00:00"/>
    <s v="Brokerage"/>
    <s v="Inception"/>
    <m/>
    <d v="2020-01-22T00:00:00"/>
  </r>
  <r>
    <s v="DDD"/>
    <s v="'99000044180300000009"/>
    <s v="Active"/>
    <d v="2018-04-30T00:00:00"/>
    <d v="2020-10-30T00:00:00"/>
    <s v="Engineering"/>
    <n v="1"/>
    <s v="Vinay"/>
    <s v="Ahmedabad"/>
    <s v="Construction, Power &amp; Infrastructure"/>
    <x v="2"/>
    <n v="4705.88"/>
    <d v="2019-06-08T00:00:00"/>
    <s v="Brokerage"/>
    <s v="Inception"/>
    <m/>
    <d v="2020-01-22T00:00:00"/>
  </r>
  <r>
    <s v="DDD"/>
    <s v="'99000044180300000009"/>
    <s v="Active"/>
    <d v="2018-04-30T00:00:00"/>
    <d v="2020-10-30T00:00:00"/>
    <s v="Engineering"/>
    <n v="1"/>
    <s v="Vinay"/>
    <s v="Ahmedabad"/>
    <s v="Construction, Power &amp; Infrastructure"/>
    <x v="2"/>
    <n v="4705.88"/>
    <d v="2019-09-17T00:00:00"/>
    <s v="Brokerage"/>
    <s v="Inception"/>
    <m/>
    <d v="2020-01-22T00:00:00"/>
  </r>
  <r>
    <s v="DDD"/>
    <s v="'99000044180300000009"/>
    <s v="Active"/>
    <d v="2018-04-30T00:00:00"/>
    <d v="2020-10-30T00:00:00"/>
    <s v="Engineering"/>
    <n v="1"/>
    <s v="Vinay"/>
    <s v="Ahmedabad"/>
    <s v="Construction, Power &amp; Infrastructure"/>
    <x v="2"/>
    <n v="6417.13"/>
    <d v="2018-04-30T00:00:00"/>
    <s v="Brokerage"/>
    <s v="Inception"/>
    <m/>
    <d v="2020-01-22T00:00:00"/>
  </r>
  <r>
    <s v="DDD"/>
    <s v="'99000044180300000022"/>
    <s v="Inactive"/>
    <d v="2018-06-27T00:00:00"/>
    <d v="2019-06-26T00:00:00"/>
    <s v="Engineering"/>
    <n v="1"/>
    <s v="Vinay"/>
    <s v="Ahmedabad"/>
    <s v="Construction, Power &amp; Infrastructure"/>
    <x v="2"/>
    <n v="81783.89"/>
    <d v="2018-06-27T00:00:00"/>
    <s v="Brokerage"/>
    <s v="Lapse"/>
    <s v="OTHR â€“ Other"/>
    <d v="2020-01-22T00:00:00"/>
  </r>
  <r>
    <s v="DDD"/>
    <s v="'99000044180300000047"/>
    <s v="Active"/>
    <d v="2018-08-27T00:00:00"/>
    <d v="2020-08-26T00:00:00"/>
    <s v="Engineering"/>
    <n v="1"/>
    <s v="Vinay"/>
    <s v="Ahmedabad"/>
    <s v="Construction, Power &amp; Infrastructure"/>
    <x v="2"/>
    <n v="70935.55"/>
    <d v="2020-02-27T00:00:00"/>
    <s v="Brokerage"/>
    <s v="Inception"/>
    <m/>
    <d v="2020-01-22T00:00:00"/>
  </r>
  <r>
    <s v="DDD"/>
    <s v="'99000044180300000047"/>
    <s v="Active"/>
    <d v="2018-08-27T00:00:00"/>
    <d v="2020-08-26T00:00:00"/>
    <s v="Engineering"/>
    <n v="1"/>
    <s v="Vinay"/>
    <s v="Ahmedabad"/>
    <s v="Construction, Power &amp; Infrastructure"/>
    <x v="2"/>
    <n v="90281.89"/>
    <d v="2018-11-27T00:00:00"/>
    <s v="Brokerage"/>
    <s v="Inception"/>
    <m/>
    <d v="2020-01-22T00:00:00"/>
  </r>
  <r>
    <s v="DDD"/>
    <s v="'99000044180300000047"/>
    <s v="Active"/>
    <d v="2018-08-27T00:00:00"/>
    <d v="2020-08-26T00:00:00"/>
    <s v="Engineering"/>
    <n v="1"/>
    <s v="Vinay"/>
    <s v="Ahmedabad"/>
    <s v="Construction, Power &amp; Infrastructure"/>
    <x v="2"/>
    <n v="90281.89"/>
    <d v="2019-02-27T00:00:00"/>
    <s v="Brokerage"/>
    <s v="Inception"/>
    <m/>
    <d v="2020-01-22T00:00:00"/>
  </r>
  <r>
    <s v="DDD"/>
    <s v="'99000044180300000047"/>
    <s v="Active"/>
    <d v="2018-08-27T00:00:00"/>
    <d v="2020-08-26T00:00:00"/>
    <s v="Engineering"/>
    <n v="1"/>
    <s v="Vinay"/>
    <s v="Ahmedabad"/>
    <s v="Construction, Power &amp; Infrastructure"/>
    <x v="2"/>
    <n v="90281.89"/>
    <d v="2019-05-27T00:00:00"/>
    <s v="Brokerage"/>
    <s v="Inception"/>
    <m/>
    <d v="2020-01-22T00:00:00"/>
  </r>
  <r>
    <s v="DDD"/>
    <s v="'99000044180300000047"/>
    <s v="Active"/>
    <d v="2018-08-27T00:00:00"/>
    <d v="2020-08-26T00:00:00"/>
    <s v="Engineering"/>
    <n v="1"/>
    <s v="Vinay"/>
    <s v="Ahmedabad"/>
    <s v="Construction, Power &amp; Infrastructure"/>
    <x v="2"/>
    <n v="90281.89"/>
    <d v="2019-08-27T00:00:00"/>
    <s v="Brokerage"/>
    <s v="Inception"/>
    <m/>
    <d v="2020-01-22T00:00:00"/>
  </r>
  <r>
    <s v="DDD"/>
    <s v="'99000044180300000047"/>
    <s v="Active"/>
    <d v="2018-08-27T00:00:00"/>
    <d v="2020-08-26T00:00:00"/>
    <s v="Engineering"/>
    <n v="1"/>
    <s v="Vinay"/>
    <s v="Ahmedabad"/>
    <s v="Construction, Power &amp; Infrastructure"/>
    <x v="2"/>
    <n v="90281.89"/>
    <d v="2019-11-27T00:00:00"/>
    <s v="Brokerage"/>
    <s v="Inception"/>
    <m/>
    <d v="2020-01-22T00:00:00"/>
  </r>
  <r>
    <s v="DDD"/>
    <s v="'99000044180300000047"/>
    <s v="Active"/>
    <d v="2018-08-27T00:00:00"/>
    <d v="2020-08-26T00:00:00"/>
    <s v="Engineering"/>
    <n v="1"/>
    <s v="Vinay"/>
    <s v="Ahmedabad"/>
    <s v="Construction, Power &amp; Infrastructure"/>
    <x v="2"/>
    <n v="122525.38"/>
    <d v="2018-08-27T00:00:00"/>
    <s v="Brokerage"/>
    <s v="Inception"/>
    <m/>
    <d v="2020-01-22T00:00:00"/>
  </r>
  <r>
    <s v="DDD"/>
    <s v="'99000044180300000047"/>
    <s v="Active"/>
    <d v="2018-08-27T00:00:00"/>
    <d v="2020-08-26T00:00:00"/>
    <s v="Engineering"/>
    <n v="1"/>
    <s v="Vinay"/>
    <s v="Ahmedabad"/>
    <s v="Construction, Power &amp; Infrastructure"/>
    <x v="2"/>
    <n v="0"/>
    <d v="2020-02-27T00:00:00"/>
    <s v="Brokerage"/>
    <s v="Inception"/>
    <m/>
    <d v="2020-01-22T00:00:00"/>
  </r>
  <r>
    <s v="DDD"/>
    <s v="'99000044180300000047"/>
    <s v="Active"/>
    <d v="2018-08-27T00:00:00"/>
    <d v="2020-08-26T00:00:00"/>
    <s v="Engineering"/>
    <n v="1"/>
    <s v="Vinay"/>
    <s v="Ahmedabad"/>
    <s v="Construction, Power &amp; Infrastructure"/>
    <x v="2"/>
    <n v="0"/>
    <d v="2018-11-27T00:00:00"/>
    <s v="Brokerage"/>
    <s v="Inception"/>
    <m/>
    <d v="2020-01-22T00:00:00"/>
  </r>
  <r>
    <s v="DDD"/>
    <s v="'99000044180300000047"/>
    <s v="Active"/>
    <d v="2018-08-27T00:00:00"/>
    <d v="2020-08-26T00:00:00"/>
    <s v="Engineering"/>
    <n v="1"/>
    <s v="Vinay"/>
    <s v="Ahmedabad"/>
    <s v="Construction, Power &amp; Infrastructure"/>
    <x v="2"/>
    <n v="0"/>
    <d v="2019-02-27T00:00:00"/>
    <s v="Brokerage"/>
    <s v="Inception"/>
    <m/>
    <d v="2020-01-22T00:00:00"/>
  </r>
  <r>
    <s v="DDD"/>
    <s v="'99000044180300000047"/>
    <s v="Active"/>
    <d v="2018-08-27T00:00:00"/>
    <d v="2020-08-26T00:00:00"/>
    <s v="Engineering"/>
    <n v="1"/>
    <s v="Vinay"/>
    <s v="Ahmedabad"/>
    <s v="Construction, Power &amp; Infrastructure"/>
    <x v="2"/>
    <n v="0"/>
    <d v="2019-05-27T00:00:00"/>
    <s v="Brokerage"/>
    <s v="Inception"/>
    <m/>
    <d v="2020-01-22T00:00:00"/>
  </r>
  <r>
    <s v="DDD"/>
    <s v="'99000044180300000047"/>
    <s v="Active"/>
    <d v="2018-08-27T00:00:00"/>
    <d v="2020-08-26T00:00:00"/>
    <s v="Engineering"/>
    <n v="1"/>
    <s v="Vinay"/>
    <s v="Ahmedabad"/>
    <s v="Construction, Power &amp; Infrastructure"/>
    <x v="2"/>
    <n v="0"/>
    <d v="2019-08-27T00:00:00"/>
    <s v="Brokerage"/>
    <s v="Inception"/>
    <m/>
    <d v="2020-01-22T00:00:00"/>
  </r>
  <r>
    <s v="DDD"/>
    <s v="'99000044180300000047"/>
    <s v="Active"/>
    <d v="2018-08-27T00:00:00"/>
    <d v="2020-08-26T00:00:00"/>
    <s v="Engineering"/>
    <n v="1"/>
    <s v="Vinay"/>
    <s v="Ahmedabad"/>
    <s v="Construction, Power &amp; Infrastructure"/>
    <x v="2"/>
    <n v="0"/>
    <d v="2019-11-27T00:00:00"/>
    <s v="Brokerage"/>
    <s v="Inception"/>
    <m/>
    <d v="2020-01-22T00:00:00"/>
  </r>
  <r>
    <s v="DDD"/>
    <s v="'99000044180300000047"/>
    <s v="Active"/>
    <d v="2018-08-27T00:00:00"/>
    <d v="2020-08-26T00:00:00"/>
    <s v="Engineering"/>
    <n v="1"/>
    <s v="Vinay"/>
    <s v="Ahmedabad"/>
    <s v="Construction, Power &amp; Infrastructure"/>
    <x v="2"/>
    <n v="0"/>
    <d v="2018-08-27T00:00:00"/>
    <s v="Brokerage"/>
    <s v="Inception"/>
    <m/>
    <d v="2020-01-22T00:00:00"/>
  </r>
  <r>
    <s v="DDD"/>
    <s v="'99000044180300000048"/>
    <s v="Active"/>
    <d v="2018-08-14T00:00:00"/>
    <d v="2021-02-13T00:00:00"/>
    <s v="Engineering"/>
    <n v="1"/>
    <s v="Vinay"/>
    <s v="Ahmedabad"/>
    <s v="Construction, Power &amp; Infrastructure"/>
    <x v="2"/>
    <n v="62399.23"/>
    <d v="2020-08-14T00:00:00"/>
    <s v="Brokerage"/>
    <s v="Inception"/>
    <m/>
    <d v="2020-01-22T00:00:00"/>
  </r>
  <r>
    <s v="DDD"/>
    <s v="'99000044180300000048"/>
    <s v="Active"/>
    <d v="2018-08-14T00:00:00"/>
    <d v="2021-02-13T00:00:00"/>
    <s v="Engineering"/>
    <n v="1"/>
    <s v="Vinay"/>
    <s v="Ahmedabad"/>
    <s v="Construction, Power &amp; Infrastructure"/>
    <x v="2"/>
    <n v="62399.4"/>
    <d v="2020-02-14T00:00:00"/>
    <s v="Brokerage"/>
    <s v="Inception"/>
    <m/>
    <d v="2020-01-22T00:00:00"/>
  </r>
  <r>
    <s v="DDD"/>
    <s v="'99000044180300000048"/>
    <s v="Active"/>
    <d v="2018-08-14T00:00:00"/>
    <d v="2021-02-13T00:00:00"/>
    <s v="Engineering"/>
    <n v="1"/>
    <s v="Vinay"/>
    <s v="Ahmedabad"/>
    <s v="Construction, Power &amp; Infrastructure"/>
    <x v="2"/>
    <n v="62399.4"/>
    <d v="2020-05-14T00:00:00"/>
    <s v="Brokerage"/>
    <s v="Inception"/>
    <m/>
    <d v="2020-01-22T00:00:00"/>
  </r>
  <r>
    <s v="DDD"/>
    <s v="'99000044180300000048"/>
    <s v="Active"/>
    <d v="2018-08-14T00:00:00"/>
    <d v="2021-02-13T00:00:00"/>
    <s v="Engineering"/>
    <n v="1"/>
    <s v="Vinay"/>
    <s v="Ahmedabad"/>
    <s v="Construction, Power &amp; Infrastructure"/>
    <x v="2"/>
    <n v="62399.4"/>
    <d v="2019-11-14T00:00:00"/>
    <s v="Brokerage"/>
    <s v="Inception"/>
    <m/>
    <d v="2020-01-22T00:00:00"/>
  </r>
  <r>
    <s v="DDD"/>
    <s v="'99000044180300000048"/>
    <s v="Active"/>
    <d v="2018-08-14T00:00:00"/>
    <d v="2021-02-13T00:00:00"/>
    <s v="Engineering"/>
    <n v="1"/>
    <s v="Vinay"/>
    <s v="Ahmedabad"/>
    <s v="Construction, Power &amp; Infrastructure"/>
    <x v="2"/>
    <n v="68639.38"/>
    <d v="2018-11-14T00:00:00"/>
    <s v="Brokerage"/>
    <s v="Inception"/>
    <m/>
    <d v="2020-01-22T00:00:00"/>
  </r>
  <r>
    <s v="DDD"/>
    <s v="'99000044180300000048"/>
    <s v="Active"/>
    <d v="2018-08-14T00:00:00"/>
    <d v="2021-02-13T00:00:00"/>
    <s v="Engineering"/>
    <n v="1"/>
    <s v="Vinay"/>
    <s v="Ahmedabad"/>
    <s v="Construction, Power &amp; Infrastructure"/>
    <x v="2"/>
    <n v="68639.38"/>
    <d v="2019-02-14T00:00:00"/>
    <s v="Brokerage"/>
    <s v="Inception"/>
    <m/>
    <d v="2020-01-22T00:00:00"/>
  </r>
  <r>
    <s v="DDD"/>
    <s v="'99000044180300000048"/>
    <s v="Active"/>
    <d v="2018-08-14T00:00:00"/>
    <d v="2021-02-13T00:00:00"/>
    <s v="Engineering"/>
    <n v="1"/>
    <s v="Vinay"/>
    <s v="Ahmedabad"/>
    <s v="Construction, Power &amp; Infrastructure"/>
    <x v="2"/>
    <n v="68639.38"/>
    <d v="2019-05-14T00:00:00"/>
    <s v="Brokerage"/>
    <s v="Inception"/>
    <m/>
    <d v="2020-01-22T00:00:00"/>
  </r>
  <r>
    <s v="DDD"/>
    <s v="'99000044180300000048"/>
    <s v="Active"/>
    <d v="2018-08-14T00:00:00"/>
    <d v="2021-02-13T00:00:00"/>
    <s v="Engineering"/>
    <n v="1"/>
    <s v="Vinay"/>
    <s v="Ahmedabad"/>
    <s v="Construction, Power &amp; Infrastructure"/>
    <x v="2"/>
    <n v="68639.38"/>
    <d v="2019-08-14T00:00:00"/>
    <s v="Brokerage"/>
    <s v="Inception"/>
    <m/>
    <d v="2020-01-22T00:00:00"/>
  </r>
  <r>
    <s v="DDD"/>
    <s v="'99000044180300000048"/>
    <s v="Active"/>
    <d v="2018-08-14T00:00:00"/>
    <d v="2021-02-13T00:00:00"/>
    <s v="Engineering"/>
    <n v="1"/>
    <s v="Vinay"/>
    <s v="Ahmedabad"/>
    <s v="Construction, Power &amp; Infrastructure"/>
    <x v="2"/>
    <n v="99839.08"/>
    <d v="2018-08-14T00:00:00"/>
    <s v="Brokerage"/>
    <s v="Inception"/>
    <m/>
    <d v="2020-01-22T00:00:00"/>
  </r>
  <r>
    <s v="DDD"/>
    <s v="'99000044180300000048"/>
    <s v="Active"/>
    <d v="2018-08-14T00:00:00"/>
    <d v="2021-02-13T00:00:00"/>
    <s v="Engineering"/>
    <n v="1"/>
    <s v="Vinay"/>
    <s v="Ahmedabad"/>
    <s v="Construction, Power &amp; Infrastructure"/>
    <x v="2"/>
    <n v="0"/>
    <d v="2020-08-14T00:00:00"/>
    <s v="Brokerage"/>
    <s v="Inception"/>
    <m/>
    <d v="2020-01-22T00:00:00"/>
  </r>
  <r>
    <s v="DDD"/>
    <s v="'99000044180300000048"/>
    <s v="Active"/>
    <d v="2018-08-14T00:00:00"/>
    <d v="2021-02-13T00:00:00"/>
    <s v="Engineering"/>
    <n v="1"/>
    <s v="Vinay"/>
    <s v="Ahmedabad"/>
    <s v="Construction, Power &amp; Infrastructure"/>
    <x v="2"/>
    <n v="0"/>
    <d v="2020-02-14T00:00:00"/>
    <s v="Brokerage"/>
    <s v="Inception"/>
    <m/>
    <d v="2020-01-22T00:00:00"/>
  </r>
  <r>
    <s v="DDD"/>
    <s v="'99000044180300000048"/>
    <s v="Active"/>
    <d v="2018-08-14T00:00:00"/>
    <d v="2021-02-13T00:00:00"/>
    <s v="Engineering"/>
    <n v="1"/>
    <s v="Vinay"/>
    <s v="Ahmedabad"/>
    <s v="Construction, Power &amp; Infrastructure"/>
    <x v="2"/>
    <n v="0"/>
    <d v="2020-05-14T00:00:00"/>
    <s v="Brokerage"/>
    <s v="Inception"/>
    <m/>
    <d v="2020-01-22T00:00:00"/>
  </r>
  <r>
    <s v="DDD"/>
    <s v="'99000044180300000048"/>
    <s v="Active"/>
    <d v="2018-08-14T00:00:00"/>
    <d v="2021-02-13T00:00:00"/>
    <s v="Engineering"/>
    <n v="1"/>
    <s v="Vinay"/>
    <s v="Ahmedabad"/>
    <s v="Construction, Power &amp; Infrastructure"/>
    <x v="2"/>
    <n v="0"/>
    <d v="2019-11-14T00:00:00"/>
    <s v="Brokerage"/>
    <s v="Inception"/>
    <m/>
    <d v="2020-01-22T00:00:00"/>
  </r>
  <r>
    <s v="DDD"/>
    <s v="'99000044180300000048"/>
    <s v="Active"/>
    <d v="2018-08-14T00:00:00"/>
    <d v="2021-02-13T00:00:00"/>
    <s v="Engineering"/>
    <n v="1"/>
    <s v="Vinay"/>
    <s v="Ahmedabad"/>
    <s v="Construction, Power &amp; Infrastructure"/>
    <x v="2"/>
    <n v="0"/>
    <d v="2018-11-14T00:00:00"/>
    <s v="Brokerage"/>
    <s v="Inception"/>
    <m/>
    <d v="2020-01-22T00:00:00"/>
  </r>
  <r>
    <s v="DDD"/>
    <s v="'99000044180300000048"/>
    <s v="Active"/>
    <d v="2018-08-14T00:00:00"/>
    <d v="2021-02-13T00:00:00"/>
    <s v="Engineering"/>
    <n v="1"/>
    <s v="Vinay"/>
    <s v="Ahmedabad"/>
    <s v="Construction, Power &amp; Infrastructure"/>
    <x v="2"/>
    <n v="0"/>
    <d v="2019-02-14T00:00:00"/>
    <s v="Brokerage"/>
    <s v="Inception"/>
    <m/>
    <d v="2020-01-22T00:00:00"/>
  </r>
  <r>
    <s v="DDD"/>
    <s v="'99000044180300000048"/>
    <s v="Active"/>
    <d v="2018-08-14T00:00:00"/>
    <d v="2021-02-13T00:00:00"/>
    <s v="Engineering"/>
    <n v="1"/>
    <s v="Vinay"/>
    <s v="Ahmedabad"/>
    <s v="Construction, Power &amp; Infrastructure"/>
    <x v="2"/>
    <n v="0"/>
    <d v="2019-05-14T00:00:00"/>
    <s v="Brokerage"/>
    <s v="Inception"/>
    <m/>
    <d v="2020-01-22T00:00:00"/>
  </r>
  <r>
    <s v="DDD"/>
    <s v="'99000044180300000048"/>
    <s v="Active"/>
    <d v="2018-08-14T00:00:00"/>
    <d v="2021-02-13T00:00:00"/>
    <s v="Engineering"/>
    <n v="1"/>
    <s v="Vinay"/>
    <s v="Ahmedabad"/>
    <s v="Construction, Power &amp; Infrastructure"/>
    <x v="2"/>
    <n v="0"/>
    <d v="2019-08-14T00:00:00"/>
    <s v="Brokerage"/>
    <s v="Inception"/>
    <m/>
    <d v="2020-01-22T00:00:00"/>
  </r>
  <r>
    <s v="DDD"/>
    <s v="'99000044180300000048"/>
    <s v="Active"/>
    <d v="2018-08-14T00:00:00"/>
    <d v="2021-02-13T00:00:00"/>
    <s v="Engineering"/>
    <n v="1"/>
    <s v="Vinay"/>
    <s v="Ahmedabad"/>
    <s v="Construction, Power &amp; Infrastructure"/>
    <x v="2"/>
    <n v="0"/>
    <d v="2018-08-14T00:00:00"/>
    <s v="Brokerage"/>
    <s v="Inception"/>
    <m/>
    <d v="2020-01-22T00:00:00"/>
  </r>
  <r>
    <s v="DDD"/>
    <s v="'99000044180300000053"/>
    <s v="Active"/>
    <d v="2018-09-25T00:00:00"/>
    <d v="2020-09-24T00:00:00"/>
    <s v="Engineering"/>
    <n v="1"/>
    <s v="Vinay"/>
    <s v="Ahmedabad"/>
    <s v="Construction, Power &amp; Infrastructure"/>
    <x v="2"/>
    <n v="65412.72"/>
    <d v="2020-03-25T00:00:00"/>
    <s v="Brokerage"/>
    <s v="Inception"/>
    <m/>
    <d v="2020-01-22T00:00:00"/>
  </r>
  <r>
    <s v="DDD"/>
    <s v="'99000044180300000053"/>
    <s v="Active"/>
    <d v="2018-09-25T00:00:00"/>
    <d v="2020-09-24T00:00:00"/>
    <s v="Engineering"/>
    <n v="1"/>
    <s v="Vinay"/>
    <s v="Ahmedabad"/>
    <s v="Construction, Power &amp; Infrastructure"/>
    <x v="2"/>
    <n v="83253.179999999993"/>
    <d v="2018-12-25T00:00:00"/>
    <s v="Brokerage"/>
    <s v="Inception"/>
    <m/>
    <d v="2020-01-22T00:00:00"/>
  </r>
  <r>
    <s v="DDD"/>
    <s v="'99000044180300000053"/>
    <s v="Active"/>
    <d v="2018-09-25T00:00:00"/>
    <d v="2020-09-24T00:00:00"/>
    <s v="Engineering"/>
    <n v="1"/>
    <s v="Vinay"/>
    <s v="Ahmedabad"/>
    <s v="Construction, Power &amp; Infrastructure"/>
    <x v="2"/>
    <n v="83253.179999999993"/>
    <d v="2019-03-25T00:00:00"/>
    <s v="Brokerage"/>
    <s v="Inception"/>
    <m/>
    <d v="2020-01-22T00:00:00"/>
  </r>
  <r>
    <s v="DDD"/>
    <s v="'99000044180300000053"/>
    <s v="Active"/>
    <d v="2018-09-25T00:00:00"/>
    <d v="2020-09-24T00:00:00"/>
    <s v="Engineering"/>
    <n v="1"/>
    <s v="Vinay"/>
    <s v="Ahmedabad"/>
    <s v="Construction, Power &amp; Infrastructure"/>
    <x v="2"/>
    <n v="83253.179999999993"/>
    <d v="2019-06-25T00:00:00"/>
    <s v="Brokerage"/>
    <s v="Inception"/>
    <m/>
    <d v="2020-01-22T00:00:00"/>
  </r>
  <r>
    <s v="DDD"/>
    <s v="'99000044180300000053"/>
    <s v="Active"/>
    <d v="2018-09-25T00:00:00"/>
    <d v="2020-09-24T00:00:00"/>
    <s v="Engineering"/>
    <n v="1"/>
    <s v="Vinay"/>
    <s v="Ahmedabad"/>
    <s v="Construction, Power &amp; Infrastructure"/>
    <x v="2"/>
    <n v="83253.179999999993"/>
    <d v="2019-09-25T00:00:00"/>
    <s v="Brokerage"/>
    <s v="Inception"/>
    <m/>
    <d v="2020-01-22T00:00:00"/>
  </r>
  <r>
    <s v="DDD"/>
    <s v="'99000044180300000053"/>
    <s v="Active"/>
    <d v="2018-09-25T00:00:00"/>
    <d v="2020-09-24T00:00:00"/>
    <s v="Engineering"/>
    <n v="1"/>
    <s v="Vinay"/>
    <s v="Ahmedabad"/>
    <s v="Construction, Power &amp; Infrastructure"/>
    <x v="2"/>
    <n v="83253.179999999993"/>
    <d v="2019-12-25T00:00:00"/>
    <s v="Brokerage"/>
    <s v="Inception"/>
    <m/>
    <d v="2020-01-22T00:00:00"/>
  </r>
  <r>
    <s v="DDD"/>
    <s v="'99000044180300000053"/>
    <s v="Active"/>
    <d v="2018-09-25T00:00:00"/>
    <d v="2020-09-24T00:00:00"/>
    <s v="Engineering"/>
    <n v="1"/>
    <s v="Vinay"/>
    <s v="Ahmedabad"/>
    <s v="Construction, Power &amp; Infrastructure"/>
    <x v="2"/>
    <n v="112986.38"/>
    <d v="2018-09-25T00:00:00"/>
    <s v="Brokerage"/>
    <s v="Inception"/>
    <m/>
    <d v="2020-01-22T00:00:00"/>
  </r>
  <r>
    <s v="DDD"/>
    <s v="'99000044180300000053"/>
    <s v="Active"/>
    <d v="2018-09-25T00:00:00"/>
    <d v="2020-09-24T00:00:00"/>
    <s v="Engineering"/>
    <n v="1"/>
    <s v="Vinay"/>
    <s v="Ahmedabad"/>
    <s v="Construction, Power &amp; Infrastructure"/>
    <x v="2"/>
    <n v="0"/>
    <d v="2020-03-25T00:00:00"/>
    <s v="Brokerage"/>
    <s v="Inception"/>
    <m/>
    <d v="2020-01-22T00:00:00"/>
  </r>
  <r>
    <s v="DDD"/>
    <s v="'99000044180300000053"/>
    <s v="Active"/>
    <d v="2018-09-25T00:00:00"/>
    <d v="2020-09-24T00:00:00"/>
    <s v="Engineering"/>
    <n v="1"/>
    <s v="Vinay"/>
    <s v="Ahmedabad"/>
    <s v="Construction, Power &amp; Infrastructure"/>
    <x v="2"/>
    <n v="0"/>
    <d v="2018-12-25T00:00:00"/>
    <s v="Brokerage"/>
    <s v="Inception"/>
    <m/>
    <d v="2020-01-22T00:00:00"/>
  </r>
  <r>
    <s v="DDD"/>
    <s v="'99000044180300000053"/>
    <s v="Active"/>
    <d v="2018-09-25T00:00:00"/>
    <d v="2020-09-24T00:00:00"/>
    <s v="Engineering"/>
    <n v="1"/>
    <s v="Vinay"/>
    <s v="Ahmedabad"/>
    <s v="Construction, Power &amp; Infrastructure"/>
    <x v="2"/>
    <n v="0"/>
    <d v="2019-03-25T00:00:00"/>
    <s v="Brokerage"/>
    <s v="Inception"/>
    <m/>
    <d v="2020-01-22T00:00:00"/>
  </r>
  <r>
    <s v="DDD"/>
    <s v="'99000044180300000053"/>
    <s v="Active"/>
    <d v="2018-09-25T00:00:00"/>
    <d v="2020-09-24T00:00:00"/>
    <s v="Engineering"/>
    <n v="1"/>
    <s v="Vinay"/>
    <s v="Ahmedabad"/>
    <s v="Construction, Power &amp; Infrastructure"/>
    <x v="2"/>
    <n v="0"/>
    <d v="2019-06-25T00:00:00"/>
    <s v="Brokerage"/>
    <s v="Inception"/>
    <m/>
    <d v="2020-01-22T00:00:00"/>
  </r>
  <r>
    <s v="DDD"/>
    <s v="'99000044180300000053"/>
    <s v="Active"/>
    <d v="2018-09-25T00:00:00"/>
    <d v="2020-09-24T00:00:00"/>
    <s v="Engineering"/>
    <n v="1"/>
    <s v="Vinay"/>
    <s v="Ahmedabad"/>
    <s v="Construction, Power &amp; Infrastructure"/>
    <x v="2"/>
    <n v="0"/>
    <d v="2019-09-25T00:00:00"/>
    <s v="Brokerage"/>
    <s v="Inception"/>
    <m/>
    <d v="2020-01-22T00:00:00"/>
  </r>
  <r>
    <s v="DDD"/>
    <s v="'99000044180300000053"/>
    <s v="Active"/>
    <d v="2018-09-25T00:00:00"/>
    <d v="2020-09-24T00:00:00"/>
    <s v="Engineering"/>
    <n v="1"/>
    <s v="Vinay"/>
    <s v="Ahmedabad"/>
    <s v="Construction, Power &amp; Infrastructure"/>
    <x v="2"/>
    <n v="0"/>
    <d v="2019-12-25T00:00:00"/>
    <s v="Brokerage"/>
    <s v="Inception"/>
    <m/>
    <d v="2020-01-22T00:00:00"/>
  </r>
  <r>
    <s v="DDD"/>
    <s v="'99000044180300000053"/>
    <s v="Active"/>
    <d v="2018-09-25T00:00:00"/>
    <d v="2020-09-24T00:00:00"/>
    <s v="Engineering"/>
    <n v="1"/>
    <s v="Vinay"/>
    <s v="Ahmedabad"/>
    <s v="Construction, Power &amp; Infrastructure"/>
    <x v="2"/>
    <n v="0"/>
    <d v="2018-09-25T00:00:00"/>
    <s v="Brokerage"/>
    <s v="Inception"/>
    <m/>
    <d v="2020-01-22T00:00:00"/>
  </r>
  <r>
    <s v="DDD"/>
    <s v="'99000044180300000056"/>
    <s v="Inactive"/>
    <d v="2018-10-20T00:00:00"/>
    <d v="2019-04-19T00:00:00"/>
    <s v="Engineering"/>
    <n v="1"/>
    <s v="Vinay"/>
    <s v="Ahmedabad"/>
    <s v="Construction, Power &amp; Infrastructure"/>
    <x v="2"/>
    <n v="101037"/>
    <d v="2018-10-20T00:00:00"/>
    <s v="Brokerage"/>
    <s v="Inception"/>
    <m/>
    <d v="2020-01-22T00:00:00"/>
  </r>
  <r>
    <s v="DDD"/>
    <s v="'99000044180300000064"/>
    <s v="Inactive"/>
    <d v="2019-01-09T00:00:00"/>
    <d v="2019-07-08T00:00:00"/>
    <s v="Engineering"/>
    <n v="1"/>
    <s v="Vinay"/>
    <s v="Ahmedabad"/>
    <s v="Construction, Power &amp; Infrastructure"/>
    <x v="2"/>
    <n v="16455"/>
    <d v="2019-01-09T00:00:00"/>
    <s v="Brokerage"/>
    <s v="Inception"/>
    <m/>
    <d v="2020-01-22T00:00:00"/>
  </r>
  <r>
    <s v="DDD"/>
    <s v="'99000044180300000064"/>
    <s v="Inactive"/>
    <d v="2019-01-09T00:00:00"/>
    <d v="2019-07-08T00:00:00"/>
    <s v="Engineering"/>
    <n v="1"/>
    <s v="Vinay"/>
    <s v="Ahmedabad"/>
    <s v="Construction, Power &amp; Infrastructure"/>
    <x v="2"/>
    <n v="0"/>
    <d v="2019-01-09T00:00:00"/>
    <s v="Brokerage"/>
    <s v="Inception"/>
    <m/>
    <d v="2020-01-22T00:00:00"/>
  </r>
  <r>
    <s v="DDD"/>
    <s v="'99000044180300000074"/>
    <s v="Active"/>
    <d v="2019-03-07T00:00:00"/>
    <d v="2020-06-06T00:00:00"/>
    <s v="Engineering"/>
    <n v="1"/>
    <s v="Vinay"/>
    <s v="Ahmedabad"/>
    <s v="Construction, Power &amp; Infrastructure"/>
    <x v="2"/>
    <n v="11360"/>
    <d v="2019-03-07T00:00:00"/>
    <s v="Brokerage"/>
    <s v="Inception"/>
    <m/>
    <d v="2020-01-22T00:00:00"/>
  </r>
  <r>
    <s v="DDD"/>
    <s v="'99000044180300000076"/>
    <s v="Inactive"/>
    <d v="2019-03-27T00:00:00"/>
    <d v="2019-09-26T00:00:00"/>
    <s v="Engineering"/>
    <n v="1"/>
    <s v="Vinay"/>
    <s v="Ahmedabad"/>
    <s v="Construction, Power &amp; Infrastructure"/>
    <x v="2"/>
    <n v="67102"/>
    <d v="2019-03-27T00:00:00"/>
    <s v="Brokerage"/>
    <s v="Inception"/>
    <m/>
    <d v="2020-01-22T00:00:00"/>
  </r>
  <r>
    <s v="DDD"/>
    <s v="'99000044180300000076"/>
    <s v="Inactive"/>
    <d v="2019-03-27T00:00:00"/>
    <d v="2019-09-26T00:00:00"/>
    <s v="Engineering"/>
    <n v="1"/>
    <s v="Vinay"/>
    <s v="Ahmedabad"/>
    <s v="Construction, Power &amp; Infrastructure"/>
    <x v="2"/>
    <n v="0"/>
    <d v="2019-03-27T00:00:00"/>
    <s v="Brokerage"/>
    <s v="Inception"/>
    <m/>
    <d v="2020-01-22T00:00:00"/>
  </r>
  <r>
    <s v="DDD"/>
    <s v="'99000044180300000078"/>
    <s v="Active"/>
    <d v="2019-03-25T00:00:00"/>
    <d v="2021-03-24T00:00:00"/>
    <s v="Engineering"/>
    <n v="1"/>
    <s v="Vinay"/>
    <s v="Ahmedabad"/>
    <s v="Construction, Power &amp; Infrastructure"/>
    <x v="2"/>
    <n v="120474.73"/>
    <d v="2020-12-08T00:00:00"/>
    <s v="Brokerage"/>
    <s v="Inception"/>
    <m/>
    <d v="2020-01-22T00:00:00"/>
  </r>
  <r>
    <s v="DDD"/>
    <s v="'99000044180300000078"/>
    <s v="Active"/>
    <d v="2019-03-25T00:00:00"/>
    <d v="2021-03-24T00:00:00"/>
    <s v="Engineering"/>
    <n v="1"/>
    <s v="Vinay"/>
    <s v="Ahmedabad"/>
    <s v="Construction, Power &amp; Infrastructure"/>
    <x v="2"/>
    <n v="153332.03"/>
    <d v="2020-01-31T00:00:00"/>
    <s v="Brokerage"/>
    <s v="Inception"/>
    <m/>
    <d v="2020-01-22T00:00:00"/>
  </r>
  <r>
    <s v="DDD"/>
    <s v="'99000044180300000078"/>
    <s v="Active"/>
    <d v="2019-03-25T00:00:00"/>
    <d v="2021-03-24T00:00:00"/>
    <s v="Engineering"/>
    <n v="1"/>
    <s v="Vinay"/>
    <s v="Ahmedabad"/>
    <s v="Construction, Power &amp; Infrastructure"/>
    <x v="2"/>
    <n v="153332.03"/>
    <d v="2020-05-14T00:00:00"/>
    <s v="Brokerage"/>
    <s v="Inception"/>
    <m/>
    <d v="2020-01-22T00:00:00"/>
  </r>
  <r>
    <s v="DDD"/>
    <s v="'99000044180300000078"/>
    <s v="Active"/>
    <d v="2019-03-25T00:00:00"/>
    <d v="2021-03-24T00:00:00"/>
    <s v="Engineering"/>
    <n v="1"/>
    <s v="Vinay"/>
    <s v="Ahmedabad"/>
    <s v="Construction, Power &amp; Infrastructure"/>
    <x v="2"/>
    <n v="153332.03"/>
    <d v="2020-08-26T00:00:00"/>
    <s v="Brokerage"/>
    <s v="Inception"/>
    <m/>
    <d v="2020-01-22T00:00:00"/>
  </r>
  <r>
    <s v="DDD"/>
    <s v="'99000044180300000078"/>
    <s v="Active"/>
    <d v="2019-03-25T00:00:00"/>
    <d v="2021-03-24T00:00:00"/>
    <s v="Engineering"/>
    <n v="1"/>
    <s v="Vinay"/>
    <s v="Ahmedabad"/>
    <s v="Construction, Power &amp; Infrastructure"/>
    <x v="2"/>
    <n v="153332.03"/>
    <d v="2019-07-07T00:00:00"/>
    <s v="Brokerage"/>
    <s v="Inception"/>
    <m/>
    <d v="2020-01-22T00:00:00"/>
  </r>
  <r>
    <s v="DDD"/>
    <s v="'99000044180300000078"/>
    <s v="Active"/>
    <d v="2019-03-25T00:00:00"/>
    <d v="2021-03-24T00:00:00"/>
    <s v="Engineering"/>
    <n v="1"/>
    <s v="Vinay"/>
    <s v="Ahmedabad"/>
    <s v="Construction, Power &amp; Infrastructure"/>
    <x v="2"/>
    <n v="153332.03"/>
    <d v="2019-10-19T00:00:00"/>
    <s v="Brokerage"/>
    <s v="Inception"/>
    <m/>
    <d v="2020-01-22T00:00:00"/>
  </r>
  <r>
    <s v="DDD"/>
    <s v="'99000044180300000078"/>
    <s v="Active"/>
    <d v="2019-03-25T00:00:00"/>
    <d v="2021-03-24T00:00:00"/>
    <s v="Engineering"/>
    <n v="1"/>
    <s v="Vinay"/>
    <s v="Ahmedabad"/>
    <s v="Construction, Power &amp; Infrastructure"/>
    <x v="2"/>
    <n v="208093.46"/>
    <d v="2019-03-25T00:00:00"/>
    <s v="Brokerage"/>
    <s v="Inception"/>
    <m/>
    <d v="2020-01-22T00:00:00"/>
  </r>
  <r>
    <s v="DDD"/>
    <s v="'99000044180300000078"/>
    <s v="Active"/>
    <d v="2019-03-25T00:00:00"/>
    <d v="2021-03-24T00:00:00"/>
    <s v="Engineering"/>
    <n v="1"/>
    <s v="Vinay"/>
    <s v="Ahmedabad"/>
    <s v="Construction, Power &amp; Infrastructure"/>
    <x v="2"/>
    <n v="0"/>
    <d v="2020-12-08T00:00:00"/>
    <s v="Brokerage"/>
    <s v="Inception"/>
    <m/>
    <d v="2020-01-22T00:00:00"/>
  </r>
  <r>
    <s v="DDD"/>
    <s v="'99000044180300000078"/>
    <s v="Active"/>
    <d v="2019-03-25T00:00:00"/>
    <d v="2021-03-24T00:00:00"/>
    <s v="Engineering"/>
    <n v="1"/>
    <s v="Vinay"/>
    <s v="Ahmedabad"/>
    <s v="Construction, Power &amp; Infrastructure"/>
    <x v="2"/>
    <n v="0"/>
    <d v="2020-01-31T00:00:00"/>
    <s v="Brokerage"/>
    <s v="Inception"/>
    <m/>
    <d v="2020-01-22T00:00:00"/>
  </r>
  <r>
    <s v="DDD"/>
    <s v="'99000044180300000078"/>
    <s v="Active"/>
    <d v="2019-03-25T00:00:00"/>
    <d v="2021-03-24T00:00:00"/>
    <s v="Engineering"/>
    <n v="1"/>
    <s v="Vinay"/>
    <s v="Ahmedabad"/>
    <s v="Construction, Power &amp; Infrastructure"/>
    <x v="2"/>
    <n v="0"/>
    <d v="2020-05-14T00:00:00"/>
    <s v="Brokerage"/>
    <s v="Inception"/>
    <m/>
    <d v="2020-01-22T00:00:00"/>
  </r>
  <r>
    <s v="DDD"/>
    <s v="'99000044180300000078"/>
    <s v="Active"/>
    <d v="2019-03-25T00:00:00"/>
    <d v="2021-03-24T00:00:00"/>
    <s v="Engineering"/>
    <n v="1"/>
    <s v="Vinay"/>
    <s v="Ahmedabad"/>
    <s v="Construction, Power &amp; Infrastructure"/>
    <x v="2"/>
    <n v="0"/>
    <d v="2020-08-26T00:00:00"/>
    <s v="Brokerage"/>
    <s v="Inception"/>
    <m/>
    <d v="2020-01-22T00:00:00"/>
  </r>
  <r>
    <s v="DDD"/>
    <s v="'99000044180300000078"/>
    <s v="Active"/>
    <d v="2019-03-25T00:00:00"/>
    <d v="2021-03-24T00:00:00"/>
    <s v="Engineering"/>
    <n v="1"/>
    <s v="Vinay"/>
    <s v="Ahmedabad"/>
    <s v="Construction, Power &amp; Infrastructure"/>
    <x v="2"/>
    <n v="0"/>
    <d v="2019-07-07T00:00:00"/>
    <s v="Brokerage"/>
    <s v="Inception"/>
    <m/>
    <d v="2020-01-22T00:00:00"/>
  </r>
  <r>
    <s v="DDD"/>
    <s v="'99000044180300000078"/>
    <s v="Active"/>
    <d v="2019-03-25T00:00:00"/>
    <d v="2021-03-24T00:00:00"/>
    <s v="Engineering"/>
    <n v="1"/>
    <s v="Vinay"/>
    <s v="Ahmedabad"/>
    <s v="Construction, Power &amp; Infrastructure"/>
    <x v="2"/>
    <n v="0"/>
    <d v="2019-10-19T00:00:00"/>
    <s v="Brokerage"/>
    <s v="Inception"/>
    <m/>
    <d v="2020-01-22T00:00:00"/>
  </r>
  <r>
    <s v="DDD"/>
    <s v="'99000044180300000078"/>
    <s v="Active"/>
    <d v="2019-03-25T00:00:00"/>
    <d v="2021-03-24T00:00:00"/>
    <s v="Engineering"/>
    <n v="1"/>
    <s v="Vinay"/>
    <s v="Ahmedabad"/>
    <s v="Construction, Power &amp; Infrastructure"/>
    <x v="2"/>
    <n v="0"/>
    <d v="2019-03-25T00:00:00"/>
    <s v="Brokerage"/>
    <s v="Inception"/>
    <m/>
    <d v="2020-01-22T00:00:00"/>
  </r>
  <r>
    <s v="DDD"/>
    <n v="9.9000044180700004E+19"/>
    <s v="Inactive"/>
    <d v="2018-07-18T00:00:00"/>
    <d v="2019-07-17T00:00:00"/>
    <s v="Engineering"/>
    <n v="1"/>
    <s v="Vinay"/>
    <s v="Ahmedabad"/>
    <s v="Property / BI"/>
    <x v="0"/>
    <n v="8107.49"/>
    <d v="2018-07-18T00:00:00"/>
    <s v="Brokerage"/>
    <s v="Inception"/>
    <m/>
    <d v="2020-01-22T00:00:00"/>
  </r>
  <r>
    <s v="DDD"/>
    <s v="'99000044180700000011"/>
    <s v="Active"/>
    <d v="2019-02-18T00:00:00"/>
    <d v="2020-02-17T00:00:00"/>
    <s v="Engineering"/>
    <n v="1"/>
    <s v="Vinay"/>
    <s v="Ahmedabad"/>
    <s v="Construction, Power &amp; Infrastructure"/>
    <x v="2"/>
    <n v="19113.41"/>
    <d v="2019-02-18T00:00:00"/>
    <s v="Brokerage"/>
    <s v="Inception"/>
    <m/>
    <d v="2020-01-22T00:00:00"/>
  </r>
  <r>
    <s v="DDD"/>
    <s v="'99000044180700000012"/>
    <s v="Active"/>
    <d v="2019-02-14T00:00:00"/>
    <d v="2020-02-13T00:00:00"/>
    <s v="Engineering"/>
    <n v="1"/>
    <s v="Vinay"/>
    <s v="Ahmedabad"/>
    <s v="Construction, Power &amp; Infrastructure"/>
    <x v="0"/>
    <n v="12055.25"/>
    <d v="2019-02-14T00:00:00"/>
    <s v="Brokerage"/>
    <s v="Inception"/>
    <m/>
    <d v="2020-01-22T00:00:00"/>
  </r>
  <r>
    <s v="DDD"/>
    <n v="9.9000044185099993E+19"/>
    <s v="Active"/>
    <d v="2018-09-10T00:00:00"/>
    <d v="2019-09-09T00:00:00"/>
    <s v="Miscellaneous"/>
    <n v="1"/>
    <s v="Vinay"/>
    <s v="Ahmedabad"/>
    <s v="Property / BI"/>
    <x v="0"/>
    <n v="484.75"/>
    <d v="2018-09-10T00:00:00"/>
    <s v="Brokerage"/>
    <s v="Inception"/>
    <m/>
    <d v="2020-01-22T00:00:00"/>
  </r>
  <r>
    <s v="DDD"/>
    <n v="9.9000044185799999E+19"/>
    <s v="Active"/>
    <d v="2018-09-10T00:00:00"/>
    <d v="2019-09-09T00:00:00"/>
    <s v="Miscellaneous"/>
    <n v="1"/>
    <s v="Vinay"/>
    <s v="Ahmedabad"/>
    <s v="Construction, Power &amp; Infrastructure"/>
    <x v="0"/>
    <n v="109.88"/>
    <d v="2018-09-10T00:00:00"/>
    <s v="Brokerage"/>
    <s v="Inception"/>
    <m/>
    <d v="2020-01-22T00:00:00"/>
  </r>
  <r>
    <s v="DDD"/>
    <s v="'99000044185800000014"/>
    <s v="Active"/>
    <d v="2019-02-14T00:00:00"/>
    <d v="2020-02-13T00:00:00"/>
    <s v="Miscellaneous"/>
    <n v="1"/>
    <s v="Vinay"/>
    <s v="Ahmedabad"/>
    <s v="Construction, Power &amp; Infrastructure"/>
    <x v="0"/>
    <n v="27069"/>
    <d v="2019-02-14T00:00:00"/>
    <s v="Brokerage"/>
    <s v="Renewal"/>
    <m/>
    <d v="2020-01-22T00:00:00"/>
  </r>
  <r>
    <s v="DDD"/>
    <s v="'99000044185900000001"/>
    <s v="Active"/>
    <d v="2018-08-14T00:00:00"/>
    <d v="2021-02-13T00:00:00"/>
    <s v="Fire"/>
    <n v="1"/>
    <s v="Vinay"/>
    <s v="Ahmedabad"/>
    <s v="Construction, Power &amp; Infrastructure"/>
    <x v="2"/>
    <n v="66556.88"/>
    <d v="2018-08-14T00:00:00"/>
    <s v="Brokerage"/>
    <s v="Inception"/>
    <m/>
    <d v="2020-01-22T00:00:00"/>
  </r>
  <r>
    <s v="DDD"/>
    <s v="'99000044190300000004"/>
    <s v="Active"/>
    <d v="2019-04-20T00:00:00"/>
    <d v="2019-07-19T00:00:00"/>
    <s v="Engineering"/>
    <n v="1"/>
    <s v="Vinay"/>
    <s v="Ahmedabad"/>
    <s v="Construction, Power &amp; Infrastructure"/>
    <x v="2"/>
    <n v="40959.629999999997"/>
    <d v="2019-04-20T00:00:00"/>
    <s v="Brokerage"/>
    <s v="Renewal"/>
    <m/>
    <d v="2020-01-22T00:00:00"/>
  </r>
  <r>
    <s v="DDD"/>
    <s v="'99000044190300000023"/>
    <s v="Active"/>
    <d v="2019-07-09T00:00:00"/>
    <d v="2019-10-08T00:00:00"/>
    <s v="Engineering"/>
    <n v="11"/>
    <s v="Raju Kumar"/>
    <s v="Ahmedabad"/>
    <s v="Construction, Power &amp; Infrastructure"/>
    <x v="2"/>
    <n v="8263.94"/>
    <d v="2019-07-09T00:00:00"/>
    <s v="Brokerage"/>
    <s v="Renewal"/>
    <m/>
    <d v="2020-01-22T00:00:00"/>
  </r>
  <r>
    <s v="DDD"/>
    <s v="'99000044190300000023"/>
    <s v="Active"/>
    <d v="2019-07-09T00:00:00"/>
    <d v="2019-10-08T00:00:00"/>
    <s v="Engineering"/>
    <n v="11"/>
    <s v="Raju Kumar"/>
    <s v="Ahmedabad"/>
    <s v="Construction, Power &amp; Infrastructure"/>
    <x v="2"/>
    <n v="0"/>
    <d v="2019-07-09T00:00:00"/>
    <s v="Brokerage"/>
    <s v="Renewal"/>
    <m/>
    <d v="2020-01-22T00:00:00"/>
  </r>
  <r>
    <s v="DDD"/>
    <s v="'99000044190300000046"/>
    <s v="Active"/>
    <d v="2019-09-27T00:00:00"/>
    <d v="2020-03-26T00:00:00"/>
    <s v="Engineering"/>
    <n v="11"/>
    <s v="Raju Kumar"/>
    <s v="Ahmedabad"/>
    <s v="Construction, Power &amp; Infrastructure"/>
    <x v="2"/>
    <n v="67102.13"/>
    <d v="2019-09-27T00:00:00"/>
    <s v="Brokerage"/>
    <s v="Renewal"/>
    <m/>
    <d v="2020-01-22T00:00:00"/>
  </r>
  <r>
    <s v="DDD"/>
    <s v="'99000044190700000001"/>
    <s v="Inactive"/>
    <d v="2019-04-01T00:00:00"/>
    <d v="2020-03-31T00:00:00"/>
    <s v="Engineering"/>
    <n v="11"/>
    <s v="Raju Kumar"/>
    <s v="Ahmedabad"/>
    <s v="Construction, Power &amp; Infrastructure"/>
    <x v="0"/>
    <n v="90663.25"/>
    <d v="2019-04-01T00:00:00"/>
    <s v="Brokerage"/>
    <s v="Lapse"/>
    <s v="OTHR â€“ Other"/>
    <d v="2020-01-22T00:00:00"/>
  </r>
  <r>
    <s v="DDD"/>
    <s v="''99000044190700000001"/>
    <s v="Active"/>
    <d v="2019-04-01T00:00:00"/>
    <d v="2020-03-31T00:00:00"/>
    <s v="Engineering"/>
    <n v="11"/>
    <s v="Raju Kumar"/>
    <s v="Ahmedabad"/>
    <s v="Construction, Power &amp; Infrastructure"/>
    <x v="2"/>
    <n v="90663.25"/>
    <d v="2019-04-01T00:00:00"/>
    <s v="Brokerage"/>
    <s v="Inception"/>
    <m/>
    <d v="2020-01-22T00:00:00"/>
  </r>
  <r>
    <s v="DDD"/>
    <s v="'99000044190700000002"/>
    <s v="Active"/>
    <d v="2019-07-18T00:00:00"/>
    <d v="2020-07-17T00:00:00"/>
    <s v="Engineering"/>
    <n v="1"/>
    <s v="Vinay"/>
    <s v="Ahmedabad"/>
    <s v="Property / BI"/>
    <x v="0"/>
    <n v="8854.8799999999992"/>
    <d v="2019-07-18T00:00:00"/>
    <s v="Brokerage"/>
    <s v="Renewal"/>
    <m/>
    <d v="2020-01-22T00:00:00"/>
  </r>
  <r>
    <s v="DDD"/>
    <s v="'99000044196500000008"/>
    <s v="Active"/>
    <d v="2019-04-01T00:00:00"/>
    <d v="2020-03-31T00:00:00"/>
    <s v="Engineering"/>
    <n v="1"/>
    <s v="Vinay"/>
    <s v="Ahmedabad"/>
    <s v="Construction, Power &amp; Infrastructure"/>
    <x v="0"/>
    <n v="7187.34"/>
    <d v="2019-04-01T00:00:00"/>
    <s v="Brokerage"/>
    <s v="Inception"/>
    <m/>
    <d v="2020-01-22T00:00:00"/>
  </r>
  <r>
    <s v="DDD"/>
    <s v="'99000044196500000008"/>
    <s v="Active"/>
    <d v="2019-04-01T00:00:00"/>
    <d v="2020-03-31T00:00:00"/>
    <s v="Engineering"/>
    <n v="1"/>
    <s v="Vinay"/>
    <s v="Ahmedabad"/>
    <s v="Construction, Power &amp; Infrastructure"/>
    <x v="0"/>
    <n v="0"/>
    <d v="2019-04-01T00:00:00"/>
    <s v="Brokerage"/>
    <s v="Inception"/>
    <m/>
    <d v="2020-01-22T00:00:00"/>
  </r>
  <r>
    <s v="DDD"/>
    <n v="9.9000046172479996E+19"/>
    <s v="Inactive"/>
    <d v="2017-04-27T00:00:00"/>
    <d v="2018-04-26T00:00:00"/>
    <s v="Miscellaneous"/>
    <n v="1"/>
    <s v="Vinay"/>
    <s v="Ahmedabad"/>
    <s v="Construction, Power &amp; Infrastructure"/>
    <x v="2"/>
    <n v="121755.9"/>
    <d v="2017-04-27T00:00:00"/>
    <s v="Brokerage"/>
    <s v="Lapse"/>
    <s v="Policy Renewed"/>
    <d v="2020-01-22T00:00:00"/>
  </r>
  <r>
    <s v="DDD"/>
    <s v="'99000046182400000003"/>
    <s v="Inactive"/>
    <d v="2018-04-01T00:00:00"/>
    <d v="2019-03-31T00:00:00"/>
    <s v="Miscellaneous"/>
    <n v="1"/>
    <s v="Vinay"/>
    <s v="Ahmedabad"/>
    <s v="Property / BI"/>
    <x v="2"/>
    <n v="96758.81"/>
    <d v="2018-04-01T00:00:00"/>
    <s v="Brokerage"/>
    <s v="Inception"/>
    <m/>
    <d v="2020-01-22T00:00:00"/>
  </r>
  <r>
    <s v="DDD"/>
    <n v="9.90000461824E+19"/>
    <s v="Inactive"/>
    <d v="2018-04-27T00:00:00"/>
    <d v="2019-04-26T00:00:00"/>
    <s v="Miscellaneous"/>
    <n v="1"/>
    <s v="Vinay"/>
    <s v="Ahmedabad"/>
    <s v="Construction, Power &amp; Infrastructure"/>
    <x v="0"/>
    <n v="149758.53"/>
    <d v="2018-05-27T00:00:00"/>
    <s v="Brokerage"/>
    <s v="Inception"/>
    <m/>
    <d v="2020-01-22T00:00:00"/>
  </r>
  <r>
    <s v="DDD"/>
    <s v="'99000046182400000039"/>
    <s v="Inactive"/>
    <d v="2018-06-07T00:00:00"/>
    <d v="2019-06-06T00:00:00"/>
    <s v="Miscellaneous"/>
    <n v="1"/>
    <s v="Vinay"/>
    <s v="Ahmedabad"/>
    <s v="Property / BI"/>
    <x v="2"/>
    <n v="9277.1"/>
    <d v="2018-06-07T00:00:00"/>
    <s v="Brokerage"/>
    <s v="Inception"/>
    <m/>
    <d v="2020-01-22T00:00:00"/>
  </r>
  <r>
    <s v="DDD"/>
    <s v="'99000046182400000053"/>
    <s v="Inactive"/>
    <d v="2018-07-16T00:00:00"/>
    <d v="2019-07-15T00:00:00"/>
    <s v="Miscellaneous"/>
    <n v="1"/>
    <s v="Vinay"/>
    <s v="Ahmedabad"/>
    <s v="Construction, Power &amp; Infrastructure"/>
    <x v="2"/>
    <n v="16533.25"/>
    <d v="2018-07-16T00:00:00"/>
    <s v="Brokerage"/>
    <s v="Inception"/>
    <m/>
    <d v="2020-01-22T00:00:00"/>
  </r>
  <r>
    <s v="DDD"/>
    <s v="'99000046182400000054"/>
    <s v="Inactive"/>
    <d v="2018-07-16T00:00:00"/>
    <d v="2019-07-15T00:00:00"/>
    <s v="Miscellaneous"/>
    <n v="1"/>
    <s v="Vinay"/>
    <s v="Ahmedabad"/>
    <s v="Property / BI"/>
    <x v="2"/>
    <n v="15408.4"/>
    <d v="2018-07-16T00:00:00"/>
    <s v="Brokerage"/>
    <s v="Inception"/>
    <m/>
    <d v="2020-01-22T00:00:00"/>
  </r>
  <r>
    <s v="DDD"/>
    <s v="'99000046182400000055"/>
    <s v="Inactive"/>
    <d v="2018-07-16T00:00:00"/>
    <d v="2019-07-15T00:00:00"/>
    <s v="Miscellaneous"/>
    <n v="1"/>
    <s v="Vinay"/>
    <s v="Ahmedabad"/>
    <s v="Property / BI"/>
    <x v="2"/>
    <n v="56757.75"/>
    <d v="2018-07-16T00:00:00"/>
    <s v="Brokerage"/>
    <s v="Inception"/>
    <m/>
    <d v="2020-01-22T00:00:00"/>
  </r>
  <r>
    <s v="DDD"/>
    <s v="'99000046192400000001"/>
    <s v="Active"/>
    <d v="2019-04-01T00:00:00"/>
    <d v="2020-03-31T00:00:00"/>
    <s v="Miscellaneous"/>
    <n v="1"/>
    <s v="Vinay"/>
    <s v="Ahmedabad"/>
    <s v="Property / BI"/>
    <x v="0"/>
    <n v="60229.25"/>
    <d v="2019-04-01T00:00:00"/>
    <s v="Brokerage"/>
    <s v="Renewal"/>
    <m/>
    <d v="2020-01-22T00:00:00"/>
  </r>
  <r>
    <s v="DDD"/>
    <s v="'99000046192400000020"/>
    <s v="Active"/>
    <d v="2019-04-27T00:00:00"/>
    <d v="2019-05-26T00:00:00"/>
    <s v="Miscellaneous"/>
    <n v="1"/>
    <s v="Vinay"/>
    <s v="Ahmedabad"/>
    <s v="Construction, Power &amp; Infrastructure"/>
    <x v="0"/>
    <n v="21358.38"/>
    <d v="2019-04-27T00:00:00"/>
    <s v="Brokerage"/>
    <s v="Renewal"/>
    <m/>
    <d v="2020-01-22T00:00:00"/>
  </r>
  <r>
    <s v="DDD"/>
    <s v="'99000046192400000039"/>
    <s v="Active"/>
    <d v="2019-06-12T00:00:00"/>
    <d v="2020-06-11T00:00:00"/>
    <s v="Miscellaneous"/>
    <n v="1"/>
    <s v="Vinay"/>
    <s v="Ahmedabad"/>
    <s v="Property / BI"/>
    <x v="2"/>
    <n v="10937.5"/>
    <d v="2019-06-12T00:00:00"/>
    <s v="Brokerage"/>
    <s v="Renewal"/>
    <m/>
    <d v="2020-01-22T00:00:00"/>
  </r>
  <r>
    <s v="DDD"/>
    <s v="'99000046192400000057"/>
    <s v="Active"/>
    <d v="2019-07-16T00:00:00"/>
    <d v="2020-07-15T00:00:00"/>
    <s v="Miscellaneous"/>
    <n v="1"/>
    <s v="Vinay"/>
    <s v="Ahmedabad"/>
    <s v="Property / BI"/>
    <x v="2"/>
    <n v="16474.5"/>
    <d v="2019-07-16T00:00:00"/>
    <s v="Brokerage"/>
    <s v="Renewal"/>
    <m/>
    <d v="2020-01-22T00:00:00"/>
  </r>
  <r>
    <s v="DDD"/>
    <s v="'99000046192400000058"/>
    <s v="Active"/>
    <d v="2019-07-16T00:00:00"/>
    <d v="2020-07-15T00:00:00"/>
    <s v="Miscellaneous"/>
    <n v="1"/>
    <s v="Vinay"/>
    <s v="Ahmedabad"/>
    <s v="Construction, Power &amp; Infrastructure"/>
    <x v="2"/>
    <n v="10776.25"/>
    <d v="2019-07-16T00:00:00"/>
    <s v="Brokerage"/>
    <s v="Renewal"/>
    <m/>
    <d v="2020-01-22T00:00:00"/>
  </r>
  <r>
    <s v="DDD"/>
    <s v="'99000046192400000059"/>
    <s v="Active"/>
    <d v="2019-07-16T00:00:00"/>
    <d v="2020-07-15T00:00:00"/>
    <s v="Miscellaneous"/>
    <n v="1"/>
    <s v="Vinay"/>
    <s v="Ahmedabad"/>
    <s v="Property / BI"/>
    <x v="2"/>
    <n v="61042.25"/>
    <d v="2019-07-16T00:00:00"/>
    <s v="Brokerage"/>
    <s v="Renewal"/>
    <m/>
    <d v="2020-01-22T00:00:00"/>
  </r>
  <r>
    <s v="DDD"/>
    <s v="'99000046192400000060"/>
    <s v="Active"/>
    <d v="2019-07-15T00:00:00"/>
    <d v="2020-07-14T00:00:00"/>
    <s v="Fire"/>
    <n v="11"/>
    <s v="Raju Kumar"/>
    <s v="Ahmedabad"/>
    <s v="Property / BI"/>
    <x v="2"/>
    <n v="15601.02"/>
    <d v="2019-07-15T00:00:00"/>
    <s v="Brokerage"/>
    <s v="Inception"/>
    <m/>
    <d v="2020-01-22T00:00:00"/>
  </r>
  <r>
    <s v="DDD"/>
    <s v="&quot;_x0009_99000048170300000007&quot;"/>
    <s v="Active"/>
    <d v="2017-04-27T00:00:00"/>
    <d v="2018-04-26T00:00:00"/>
    <s v="Miscellaneous"/>
    <n v="1"/>
    <s v="Vinay"/>
    <s v="Ahmedabad"/>
    <s v="Construction, Power &amp; Infrastructure"/>
    <x v="2"/>
    <n v="7000"/>
    <d v="2018-04-26T00:00:00"/>
    <s v="Brokerage"/>
    <s v="Inception"/>
    <m/>
    <d v="2020-01-22T00:00:00"/>
  </r>
  <r>
    <s v="DDD"/>
    <n v="1.6023182843E+17"/>
    <s v="Inactive"/>
    <d v="2018-08-06T00:00:00"/>
    <d v="2019-08-05T00:00:00"/>
    <s v="Employee Benefits"/>
    <n v="13"/>
    <s v="Vididt Saha"/>
    <s v="Ahmedabad"/>
    <s v="Employee Benefits (EB)"/>
    <x v="0"/>
    <n v="21000"/>
    <d v="2018-08-06T00:00:00"/>
    <s v="Brokerage"/>
    <s v="Lapse"/>
    <s v="OTHR â€“ Other"/>
    <d v="2020-01-22T00:00:00"/>
  </r>
  <r>
    <s v="DDD"/>
    <s v="HG00003377000100"/>
    <s v="Active"/>
    <d v="2019-08-10T00:00:00"/>
    <d v="2020-08-09T00:00:00"/>
    <s v="Employee Benefits"/>
    <n v="13"/>
    <s v="Vididt Saha"/>
    <s v="Ahmedabad"/>
    <s v="Employee Benefits (EB)"/>
    <x v="2"/>
    <n v="28069.13"/>
    <d v="2019-08-10T00:00:00"/>
    <s v="Brokerage"/>
    <s v="Inception"/>
    <m/>
    <d v="2020-01-22T00:00:00"/>
  </r>
  <r>
    <s v="Sanjay Trivedi"/>
    <n v="41047870"/>
    <s v="Active"/>
    <d v="2019-07-05T00:00:00"/>
    <d v="2020-07-04T00:00:00"/>
    <s v="Liability"/>
    <n v="2"/>
    <s v="Abhinav Shivam"/>
    <s v="Ahmedabad"/>
    <s v="Liability"/>
    <x v="1"/>
    <n v="72675"/>
    <d v="2019-07-05T00:00:00"/>
    <s v="Brokerage"/>
    <s v="Inception"/>
    <m/>
    <d v="2020-01-22T00:00:00"/>
  </r>
  <r>
    <s v="Anita Sethi"/>
    <n v="41047870"/>
    <s v="Active"/>
    <d v="2019-07-05T00:00:00"/>
    <d v="2020-07-04T00:00:00"/>
    <s v="Liability"/>
    <n v="2"/>
    <s v="Abhinav Shivam"/>
    <s v="Ahmedabad"/>
    <s v="Liability"/>
    <x v="1"/>
    <n v="72675"/>
    <d v="2019-07-05T00:00:00"/>
    <s v="Brokerage"/>
    <s v="Inception"/>
    <m/>
    <d v="2020-01-22T00:00:00"/>
  </r>
  <r>
    <s v="Ashok Chatterjee"/>
    <s v="0865000748 01"/>
    <s v="Inactive"/>
    <d v="2018-04-01T00:00:00"/>
    <d v="2019-03-31T00:00:00"/>
    <s v="Marine"/>
    <n v="6"/>
    <s v="Ketan Jain"/>
    <s v="Ahmedabad"/>
    <s v="Marine"/>
    <x v="0"/>
    <n v="23771.05"/>
    <d v="2018-04-01T00:00:00"/>
    <s v="Brokerage"/>
    <s v="Inception"/>
    <m/>
    <d v="2020-01-22T00:00:00"/>
  </r>
  <r>
    <s v="Rani Agarwal"/>
    <s v="0865000748 02"/>
    <s v="Active"/>
    <d v="2019-04-01T00:00:00"/>
    <d v="2020-03-31T00:00:00"/>
    <s v="Marine"/>
    <n v="6"/>
    <s v="Ketan Jain"/>
    <s v="Ahmedabad"/>
    <s v="Marine"/>
    <x v="0"/>
    <n v="21399.439999999999"/>
    <d v="2019-05-31T00:00:00"/>
    <s v="Brokerage"/>
    <s v="Renewal"/>
    <m/>
    <d v="2020-01-22T00:00:00"/>
  </r>
  <r>
    <s v="Arjun Rao"/>
    <n v="22364363"/>
    <s v="Active"/>
    <d v="2018-11-01T00:00:00"/>
    <d v="2019-10-31T00:00:00"/>
    <s v="Marine"/>
    <n v="1"/>
    <s v="Vinay"/>
    <s v="Ahmedabad"/>
    <s v="Affinity"/>
    <x v="0"/>
    <n v="23100.17"/>
    <d v="2019-10-31T00:00:00"/>
    <s v="Brokerage"/>
    <s v="Inception"/>
    <m/>
    <d v="2020-01-22T00:00:00"/>
  </r>
  <r>
    <s v="Anil Naik"/>
    <n v="22387698"/>
    <s v="Active"/>
    <d v="2018-12-24T00:00:00"/>
    <d v="2019-12-23T00:00:00"/>
    <s v="Marine"/>
    <n v="1"/>
    <s v="Vinay"/>
    <s v="Ahmedabad"/>
    <s v="Marine"/>
    <x v="0"/>
    <n v="1113.92"/>
    <d v="2018-12-24T00:00:00"/>
    <s v="Brokerage"/>
    <s v="Inception"/>
    <m/>
    <d v="2020-01-22T00:00:00"/>
  </r>
  <r>
    <s v="Simran Trivedi"/>
    <n v="9.9000036180199997E+19"/>
    <s v="Active"/>
    <d v="2018-09-06T00:00:00"/>
    <d v="2019-09-05T00:00:00"/>
    <s v="Liability"/>
    <n v="13"/>
    <s v="Vididt Saha"/>
    <s v="Ahmedabad"/>
    <s v="Liability"/>
    <x v="2"/>
    <n v="65000"/>
    <d v="2018-09-06T00:00:00"/>
    <s v="Brokerage"/>
    <s v="Inception"/>
    <m/>
    <d v="2020-01-22T00:00:00"/>
  </r>
  <r>
    <s v="Dhruv Chopra"/>
    <n v="32117648"/>
    <s v="Active"/>
    <d v="2019-02-26T00:00:00"/>
    <d v="2020-02-25T00:00:00"/>
    <s v="Engineering"/>
    <n v="13"/>
    <s v="Vididt Saha"/>
    <s v="Ahmedabad"/>
    <s v="Construction, Power &amp; Infrastructure"/>
    <x v="2"/>
    <n v="2077.5"/>
    <d v="2019-02-26T00:00:00"/>
    <s v="Brokerage"/>
    <s v="Inception"/>
    <m/>
    <d v="2020-01-22T00:00:00"/>
  </r>
  <r>
    <s v="Jaya Chopra"/>
    <n v="43152633"/>
    <s v="Inactive"/>
    <d v="2017-11-10T00:00:00"/>
    <d v="2018-05-09T00:00:00"/>
    <s v="Miscellaneous"/>
    <n v="13"/>
    <s v="Vididt Saha"/>
    <s v="Ahmedabad"/>
    <s v="Liability"/>
    <x v="2"/>
    <n v="1566.2"/>
    <d v="2017-11-10T00:00:00"/>
    <s v="Brokerage"/>
    <s v="Lapse"/>
    <s v="NOLN - No Longer Needed"/>
    <d v="2020-01-22T00:00:00"/>
  </r>
  <r>
    <s v="Kiran Goyal"/>
    <n v="43167538"/>
    <s v="Inactive"/>
    <d v="2018-06-15T00:00:00"/>
    <d v="2018-07-14T00:00:00"/>
    <s v="Miscellaneous"/>
    <n v="13"/>
    <s v="Vididt Saha"/>
    <s v="Ahmedabad"/>
    <s v="Liability"/>
    <x v="2"/>
    <n v="639.25"/>
    <d v="2018-06-15T00:00:00"/>
    <s v="Brokerage"/>
    <s v="Lapse"/>
    <s v="NOLN - No Longer Needed"/>
    <d v="2020-01-22T00:00:00"/>
  </r>
  <r>
    <s v="Pravin Sengupta"/>
    <n v="43167694"/>
    <s v="Inactive"/>
    <d v="2018-06-06T00:00:00"/>
    <d v="2019-06-05T00:00:00"/>
    <s v="Miscellaneous"/>
    <n v="13"/>
    <s v="Vididt Saha"/>
    <s v="Ahmedabad"/>
    <s v="Liability"/>
    <x v="2"/>
    <n v="1180.8800000000001"/>
    <d v="2018-06-06T00:00:00"/>
    <s v="Brokerage"/>
    <s v="Lapse"/>
    <s v="NOLN - No Longer Needed"/>
    <d v="2020-01-22T00:00:00"/>
  </r>
  <r>
    <s v="Snehal Das"/>
    <n v="43191701"/>
    <s v="Active"/>
    <d v="2019-07-02T00:00:00"/>
    <d v="2020-01-01T00:00:00"/>
    <s v="Miscellaneous"/>
    <n v="13"/>
    <s v="Vididt Saha"/>
    <s v="Ahmedabad"/>
    <s v="Liability"/>
    <x v="2"/>
    <n v="1558.76"/>
    <d v="2019-07-02T00:00:00"/>
    <s v="Brokerage"/>
    <s v="Inception"/>
    <m/>
    <d v="2020-01-22T00:00:00"/>
  </r>
  <r>
    <s v="Rajesh Malhotra"/>
    <n v="9.9000036180199997E+19"/>
    <s v="Active"/>
    <d v="2018-09-06T00:00:00"/>
    <d v="2024-03-05T00:00:00"/>
    <s v="Liability"/>
    <n v="13"/>
    <s v="Vididt Saha"/>
    <s v="Ahmedabad"/>
    <s v="Liability"/>
    <x v="2"/>
    <n v="59375"/>
    <d v="2018-09-06T00:00:00"/>
    <s v="Brokerage"/>
    <s v="Inception"/>
    <m/>
    <d v="2020-01-22T00:00:00"/>
  </r>
  <r>
    <s v="Archana Bhatia"/>
    <n v="9.9000044160300007E+19"/>
    <s v="Inactive"/>
    <d v="2017-01-09T00:00:00"/>
    <d v="2018-04-08T00:00:00"/>
    <s v="Engineering"/>
    <n v="13"/>
    <s v="Vididt Saha"/>
    <s v="Ahmedabad"/>
    <s v="Construction, Power &amp; Infrastructure"/>
    <x v="2"/>
    <n v="56150.75"/>
    <d v="2017-01-09T00:00:00"/>
    <s v="Brokerage"/>
    <s v="Lapse"/>
    <s v="NOLN - No Longer Needed"/>
    <d v="2020-01-22T00:00:00"/>
  </r>
  <r>
    <s v="Ashok Reddy"/>
    <n v="9.9000044170299998E+19"/>
    <s v="Inactive"/>
    <d v="2017-11-10T00:00:00"/>
    <d v="2018-11-09T00:00:00"/>
    <s v="Miscellaneous"/>
    <n v="13"/>
    <s v="Vididt Saha"/>
    <s v="Ahmedabad"/>
    <s v="Construction, Power &amp; Infrastructure"/>
    <x v="2"/>
    <n v="3132.5"/>
    <d v="2017-11-10T00:00:00"/>
    <s v="Brokerage"/>
    <s v="Lapse"/>
    <s v="NOLN - No Longer Needed"/>
    <d v="2020-01-22T00:00:00"/>
  </r>
  <r>
    <s v="Madhuri Bhatia"/>
    <n v="9.9000044170299998E+19"/>
    <s v="Active"/>
    <d v="2017-11-10T00:00:00"/>
    <d v="2019-11-09T00:00:00"/>
    <s v="Engineering"/>
    <n v="13"/>
    <s v="Vididt Saha"/>
    <s v="Ahmedabad"/>
    <s v="Construction, Power &amp; Infrastructure"/>
    <x v="2"/>
    <n v="30978.63"/>
    <d v="2017-11-10T00:00:00"/>
    <s v="Brokerage"/>
    <s v="Inception"/>
    <m/>
    <d v="2020-01-22T00:00:00"/>
  </r>
  <r>
    <s v="Pranav Mishra"/>
    <n v="9.9000044170299998E+19"/>
    <s v="Active"/>
    <d v="2018-02-02T00:00:00"/>
    <d v="2020-02-01T00:00:00"/>
    <s v="Engineering"/>
    <n v="13"/>
    <s v="Vididt Saha"/>
    <s v="Ahmedabad"/>
    <s v="Liability"/>
    <x v="2"/>
    <n v="17934.88"/>
    <d v="2018-02-02T00:00:00"/>
    <s v="Brokerage"/>
    <s v="Inception"/>
    <m/>
    <d v="2020-01-22T00:00:00"/>
  </r>
  <r>
    <s v="Rina Goyal"/>
    <n v="9.9000044170299998E+19"/>
    <s v="Active"/>
    <d v="2018-02-21T00:00:00"/>
    <d v="2020-02-20T00:00:00"/>
    <s v="Engineering"/>
    <n v="13"/>
    <s v="Vididt Saha"/>
    <s v="Ahmedabad"/>
    <s v="Construction, Power &amp; Infrastructure"/>
    <x v="2"/>
    <n v="15668.25"/>
    <d v="2018-02-21T00:00:00"/>
    <s v="Brokerage"/>
    <s v="Inception"/>
    <m/>
    <d v="2020-01-22T00:00:00"/>
  </r>
  <r>
    <s v="Geeta Gupta"/>
    <n v="9.9000044180300005E+19"/>
    <s v="Active"/>
    <d v="2018-04-09T00:00:00"/>
    <d v="2019-07-08T00:00:00"/>
    <s v="Engineering"/>
    <n v="13"/>
    <s v="Vididt Saha"/>
    <s v="Ahmedabad"/>
    <s v="Construction, Power &amp; Infrastructure"/>
    <x v="2"/>
    <n v="11239.38"/>
    <d v="2018-04-09T00:00:00"/>
    <s v="Brokerage"/>
    <s v="Inception"/>
    <m/>
    <d v="2020-01-22T00:00:00"/>
  </r>
  <r>
    <s v="Sudhir Roy"/>
    <n v="9.9000044180300005E+19"/>
    <s v="Inactive"/>
    <d v="2018-07-09T00:00:00"/>
    <d v="2018-10-08T00:00:00"/>
    <s v="Engineering"/>
    <n v="13"/>
    <s v="Vididt Saha"/>
    <s v="Ahmedabad"/>
    <s v="Construction, Power &amp; Infrastructure"/>
    <x v="0"/>
    <n v="11239.38"/>
    <d v="2018-07-09T00:00:00"/>
    <s v="Brokerage"/>
    <s v="Lapse"/>
    <s v="NOLN - No Longer Needed"/>
    <d v="2020-01-22T00:00:00"/>
  </r>
  <r>
    <s v="Rani Kaul"/>
    <n v="9.9000044180300005E+19"/>
    <s v="Active"/>
    <d v="2018-08-10T00:00:00"/>
    <d v="2020-02-09T00:00:00"/>
    <s v="Engineering"/>
    <n v="13"/>
    <s v="Vididt Saha"/>
    <s v="Ahmedabad"/>
    <s v="Construction, Power &amp; Infrastructure"/>
    <x v="2"/>
    <n v="21442.38"/>
    <d v="2019-10-20T00:00:00"/>
    <s v="Brokerage"/>
    <s v="Inception"/>
    <m/>
    <d v="2020-01-22T00:00:00"/>
  </r>
  <r>
    <s v="Kavita Sharma"/>
    <n v="9.9000044180300005E+19"/>
    <s v="Active"/>
    <d v="2018-08-10T00:00:00"/>
    <d v="2020-02-09T00:00:00"/>
    <s v="Engineering"/>
    <n v="13"/>
    <s v="Vididt Saha"/>
    <s v="Ahmedabad"/>
    <s v="Construction, Power &amp; Infrastructure"/>
    <x v="2"/>
    <n v="21442.75"/>
    <d v="2018-11-27T00:00:00"/>
    <s v="Brokerage"/>
    <s v="Inception"/>
    <m/>
    <d v="2020-01-22T00:00:00"/>
  </r>
  <r>
    <s v="Shikha Sethi"/>
    <n v="9.9000044180300005E+19"/>
    <s v="Active"/>
    <d v="2018-08-10T00:00:00"/>
    <d v="2020-02-09T00:00:00"/>
    <s v="Engineering"/>
    <n v="13"/>
    <s v="Vididt Saha"/>
    <s v="Ahmedabad"/>
    <s v="Construction, Power &amp; Infrastructure"/>
    <x v="2"/>
    <n v="21442.75"/>
    <d v="2019-03-16T00:00:00"/>
    <s v="Brokerage"/>
    <s v="Inception"/>
    <m/>
    <d v="2020-01-22T00:00:00"/>
  </r>
  <r>
    <s v="Amit Bhargava"/>
    <n v="9.9000044180300005E+19"/>
    <s v="Active"/>
    <d v="2018-08-10T00:00:00"/>
    <d v="2020-02-09T00:00:00"/>
    <s v="Engineering"/>
    <n v="13"/>
    <s v="Vididt Saha"/>
    <s v="Ahmedabad"/>
    <s v="Construction, Power &amp; Infrastructure"/>
    <x v="2"/>
    <n v="21442.75"/>
    <d v="2019-07-03T00:00:00"/>
    <s v="Brokerage"/>
    <s v="Inception"/>
    <m/>
    <d v="2020-01-22T00:00:00"/>
  </r>
  <r>
    <s v="Alka Goel"/>
    <n v="9.9000044180300005E+19"/>
    <s v="Active"/>
    <d v="2018-08-10T00:00:00"/>
    <d v="2020-02-09T00:00:00"/>
    <s v="Engineering"/>
    <n v="13"/>
    <s v="Vididt Saha"/>
    <s v="Ahmedabad"/>
    <s v="Construction, Power &amp; Infrastructure"/>
    <x v="2"/>
    <n v="27085.5"/>
    <d v="2018-08-10T00:00:00"/>
    <s v="Brokerage"/>
    <s v="Inception"/>
    <m/>
    <d v="2020-01-22T00:00:00"/>
  </r>
  <r>
    <s v="Harish Sharma"/>
    <n v="9.9000044180300005E+19"/>
    <s v="Active"/>
    <d v="2018-08-10T00:00:00"/>
    <d v="2020-02-09T00:00:00"/>
    <s v="Engineering"/>
    <n v="13"/>
    <s v="Vididt Saha"/>
    <s v="Ahmedabad"/>
    <s v="Construction, Power &amp; Infrastructure"/>
    <x v="2"/>
    <n v="17949.04"/>
    <d v="2018-11-27T00:00:00"/>
    <s v="Brokerage"/>
    <s v="Inception"/>
    <m/>
    <d v="2020-01-22T00:00:00"/>
  </r>
  <r>
    <s v="Gaurav Goel"/>
    <n v="9.9000044180300005E+19"/>
    <s v="Active"/>
    <d v="2018-08-10T00:00:00"/>
    <d v="2020-02-09T00:00:00"/>
    <s v="Engineering"/>
    <n v="13"/>
    <s v="Vididt Saha"/>
    <s v="Ahmedabad"/>
    <s v="Construction, Power &amp; Infrastructure"/>
    <x v="2"/>
    <n v="17949.04"/>
    <d v="2019-03-16T00:00:00"/>
    <s v="Brokerage"/>
    <s v="Inception"/>
    <m/>
    <d v="2020-01-22T00:00:00"/>
  </r>
  <r>
    <s v="Ravi Naik"/>
    <n v="9.9000044180300005E+19"/>
    <s v="Active"/>
    <d v="2018-08-10T00:00:00"/>
    <d v="2020-02-09T00:00:00"/>
    <s v="Engineering"/>
    <n v="13"/>
    <s v="Vididt Saha"/>
    <s v="Ahmedabad"/>
    <s v="Construction, Power &amp; Infrastructure"/>
    <x v="2"/>
    <n v="17949.04"/>
    <d v="2019-07-03T00:00:00"/>
    <s v="Brokerage"/>
    <s v="Inception"/>
    <m/>
    <d v="2020-01-22T00:00:00"/>
  </r>
  <r>
    <s v="Kamlesh Prasad"/>
    <n v="9.9000044180300005E+19"/>
    <s v="Active"/>
    <d v="2018-08-10T00:00:00"/>
    <d v="2020-02-09T00:00:00"/>
    <s v="Engineering"/>
    <n v="13"/>
    <s v="Vididt Saha"/>
    <s v="Ahmedabad"/>
    <s v="Construction, Power &amp; Infrastructure"/>
    <x v="2"/>
    <n v="17949.04"/>
    <d v="2019-10-20T00:00:00"/>
    <s v="Brokerage"/>
    <s v="Inception"/>
    <m/>
    <d v="2020-01-22T00:00:00"/>
  </r>
  <r>
    <s v="Nikhil Verma"/>
    <n v="9.9000044180300005E+19"/>
    <s v="Active"/>
    <d v="2018-08-10T00:00:00"/>
    <d v="2020-02-09T00:00:00"/>
    <s v="Engineering"/>
    <n v="13"/>
    <s v="Vididt Saha"/>
    <s v="Ahmedabad"/>
    <s v="Construction, Power &amp; Infrastructure"/>
    <x v="2"/>
    <n v="22672.47"/>
    <d v="2018-08-10T00:00:00"/>
    <s v="Brokerage"/>
    <s v="Inception"/>
    <m/>
    <d v="2020-01-22T00:00:00"/>
  </r>
  <r>
    <s v="Vaishali Desai"/>
    <n v="9.9000044180300005E+19"/>
    <s v="Active"/>
    <d v="2018-10-09T00:00:00"/>
    <d v="2019-10-08T00:00:00"/>
    <s v="Engineering"/>
    <n v="13"/>
    <s v="Vididt Saha"/>
    <s v="Ahmedabad"/>
    <s v="Construction, Power &amp; Infrastructure"/>
    <x v="2"/>
    <n v="11239.38"/>
    <d v="2018-10-09T00:00:00"/>
    <s v="Brokerage"/>
    <s v="Inception"/>
    <m/>
    <d v="2020-01-22T00:00:00"/>
  </r>
  <r>
    <s v="Atul Naik"/>
    <n v="9.9000044190300006E+17"/>
    <s v="Active"/>
    <d v="2019-04-10T00:00:00"/>
    <d v="2019-06-09T00:00:00"/>
    <s v="Engineering"/>
    <n v="13"/>
    <s v="Vididt Saha"/>
    <s v="Ahmedabad"/>
    <s v="Construction, Power &amp; Infrastructure"/>
    <x v="2"/>
    <n v="2212.38"/>
    <d v="2019-04-10T00:00:00"/>
    <s v="Brokerage"/>
    <s v="Inception"/>
    <m/>
    <d v="2020-01-22T00:00:00"/>
  </r>
  <r>
    <s v="Meena Bhargava"/>
    <s v="LWC/I2688106/71/10/006144"/>
    <s v="Inactive"/>
    <d v="2018-07-10T00:00:00"/>
    <d v="2018-10-09T00:00:00"/>
    <s v="Miscellaneous"/>
    <n v="13"/>
    <s v="Vididt Saha"/>
    <s v="Ahmedabad"/>
    <s v="Liability"/>
    <x v="2"/>
    <n v="1363"/>
    <d v="2018-07-10T00:00:00"/>
    <s v="Brokerage"/>
    <s v="Lapse"/>
    <s v="NOLN - No Longer Needed"/>
    <d v="2020-01-22T00:00:00"/>
  </r>
  <r>
    <s v="Mona Chopra"/>
    <s v="M6867997"/>
    <s v="Active"/>
    <d v="2019-03-25T00:00:00"/>
    <d v="2020-03-24T00:00:00"/>
    <s v="Motor"/>
    <n v="13"/>
    <s v="Vididt Saha"/>
    <s v="Ahmedabad"/>
    <s v="Motor"/>
    <x v="2"/>
    <n v="157.5"/>
    <d v="2019-03-25T00:00:00"/>
    <s v="Brokerage"/>
    <s v="Inception"/>
    <m/>
    <d v="2020-01-22T00:00:00"/>
  </r>
  <r>
    <s v="Mohit Tiwari"/>
    <s v="M7016785"/>
    <s v="Active"/>
    <d v="2019-03-29T00:00:00"/>
    <d v="2020-03-28T00:00:00"/>
    <s v="Motor"/>
    <n v="13"/>
    <s v="Vididt Saha"/>
    <s v="Ahmedabad"/>
    <s v="Motor"/>
    <x v="2"/>
    <n v="1749.45"/>
    <d v="2019-03-29T00:00:00"/>
    <s v="Brokerage"/>
    <s v="Inception"/>
    <m/>
    <d v="2020-01-22T00:00:00"/>
  </r>
  <r>
    <s v="Tina Dutta"/>
    <s v="'310304491710000022"/>
    <s v="Active"/>
    <d v="2018-03-25T00:00:00"/>
    <d v="2019-03-24T00:00:00"/>
    <s v="Liability"/>
    <n v="1"/>
    <s v="Vinay"/>
    <s v="Ahmedabad"/>
    <s v="Liability"/>
    <x v="0"/>
    <n v="6250"/>
    <d v="2018-03-25T00:00:00"/>
    <s v="Brokerage"/>
    <s v="Inception"/>
    <m/>
    <d v="2020-01-22T00:00:00"/>
  </r>
  <r>
    <s v="Hemant Das"/>
    <s v="OG-20-2202-3305-00000123"/>
    <s v="Active"/>
    <d v="2019-03-25T00:00:00"/>
    <d v="2020-03-24T00:00:00"/>
    <s v="Liability"/>
    <n v="9"/>
    <s v="Manish Sharma"/>
    <s v="Ahmedabad"/>
    <s v="Liability"/>
    <x v="0"/>
    <n v="8125"/>
    <d v="2019-03-25T00:00:00"/>
    <s v="Brokerage"/>
    <s v="Inception"/>
    <m/>
    <d v="2020-01-22T00:00:00"/>
  </r>
  <r>
    <s v="Sanjana Bhargava"/>
    <n v="2280038722"/>
    <s v="Active"/>
    <d v="2019-07-15T00:00:00"/>
    <d v="2020-01-14T00:00:00"/>
    <s v="Miscellaneous"/>
    <n v="13"/>
    <s v="Vididt Saha"/>
    <s v="Ahmedabad"/>
    <s v="Emerging Corporates Group (ECG)"/>
    <x v="2"/>
    <n v="2788.75"/>
    <d v="2019-07-15T00:00:00"/>
    <s v="Brokerage"/>
    <s v="Inception"/>
    <m/>
    <d v="2020-01-22T00:00:00"/>
  </r>
  <r>
    <s v="Kamlesh Trivedi"/>
    <n v="43170791"/>
    <s v="Active"/>
    <d v="2018-08-10T00:00:00"/>
    <d v="2019-06-09T00:00:00"/>
    <s v="Miscellaneous"/>
    <n v="13"/>
    <s v="Vididt Saha"/>
    <s v="Ahmedabad"/>
    <s v="Liability"/>
    <x v="1"/>
    <n v="7827.77"/>
    <d v="2018-08-10T00:00:00"/>
    <s v="Brokerage"/>
    <s v="Endorsement"/>
    <m/>
    <d v="2020-01-22T00:00:00"/>
  </r>
  <r>
    <s v="Nikita Tiwari"/>
    <n v="43170791"/>
    <s v="Active"/>
    <d v="2018-08-10T00:00:00"/>
    <d v="2019-06-09T00:00:00"/>
    <s v="Miscellaneous"/>
    <n v="13"/>
    <s v="Vididt Saha"/>
    <s v="Ahmedabad"/>
    <s v="Liability"/>
    <x v="1"/>
    <n v="0"/>
    <d v="2018-10-25T00:00:00"/>
    <s v="Brokerage "/>
    <s v="Endorsement"/>
    <m/>
    <d v="2020-01-22T00:00:00"/>
  </r>
  <r>
    <s v="Kapil Kapoor"/>
    <n v="43170791"/>
    <s v="Active"/>
    <d v="2018-08-10T00:00:00"/>
    <d v="2019-06-09T00:00:00"/>
    <s v="Miscellaneous"/>
    <n v="13"/>
    <s v="Vididt Saha"/>
    <s v="Ahmedabad"/>
    <s v="Liability"/>
    <x v="1"/>
    <n v="4194.8"/>
    <d v="2019-01-22T00:00:00"/>
    <s v="Brokerage "/>
    <s v="Endorsement"/>
    <m/>
    <d v="2020-01-22T00:00:00"/>
  </r>
  <r>
    <s v="Harish Rana"/>
    <n v="43182398"/>
    <s v="Inactive"/>
    <d v="2019-02-19T00:00:00"/>
    <d v="2020-05-18T00:00:00"/>
    <s v="Miscellaneous"/>
    <n v="13"/>
    <s v="Vididt Saha"/>
    <s v="Ahmedabad"/>
    <s v="Liability"/>
    <x v="2"/>
    <n v="1390.13"/>
    <d v="2019-02-19T00:00:00"/>
    <s v="Brokerage"/>
    <s v="Inception"/>
    <m/>
    <d v="2020-01-22T00:00:00"/>
  </r>
  <r>
    <s v="Nikhil Pandit"/>
    <n v="4318239800002"/>
    <s v="Active"/>
    <d v="2020-05-18T00:00:00"/>
    <d v="2020-08-18T00:00:00"/>
    <s v="Miscellaneous"/>
    <n v="13"/>
    <s v="Vididt Saha"/>
    <s v="Ahmedabad"/>
    <s v="Liability"/>
    <x v="2"/>
    <n v="1390.13"/>
    <d v="2020-05-18T00:00:00"/>
    <s v="Brokerage"/>
    <s v="Renewal"/>
    <m/>
    <d v="2020-01-22T00:00:00"/>
  </r>
  <r>
    <s v="Vivek Rana"/>
    <n v="43189992"/>
    <s v="Active"/>
    <d v="2019-06-10T00:00:00"/>
    <d v="2019-12-09T00:00:00"/>
    <s v="Miscellaneous"/>
    <n v="13"/>
    <s v="Vididt Saha"/>
    <s v="Ahmedabad"/>
    <s v="Liability"/>
    <x v="2"/>
    <n v="7835.19"/>
    <d v="2019-06-10T00:00:00"/>
    <s v="Brokerage"/>
    <s v="Inception"/>
    <m/>
    <d v="2020-01-22T00:00:00"/>
  </r>
  <r>
    <s v="Hemant Nair"/>
    <n v="43190133"/>
    <s v="Active"/>
    <d v="2019-06-11T00:00:00"/>
    <d v="2019-12-10T00:00:00"/>
    <s v="Miscellaneous"/>
    <n v="13"/>
    <s v="Vididt Saha"/>
    <s v="Ahmedabad"/>
    <s v="Liability"/>
    <x v="2"/>
    <n v="7782.56"/>
    <d v="2019-06-11T00:00:00"/>
    <s v="Brokerage"/>
    <s v="Inception"/>
    <m/>
    <d v="2020-01-22T00:00:00"/>
  </r>
  <r>
    <s v="Veena Bhargava"/>
    <n v="43191701"/>
    <s v="Active"/>
    <d v="2019-07-02T00:00:00"/>
    <d v="2020-07-01T00:00:00"/>
    <s v="Miscellaneous"/>
    <n v="13"/>
    <s v="Vididt Saha"/>
    <s v="Ahmedabad"/>
    <s v="Liability"/>
    <x v="3"/>
    <n v="1558.76"/>
    <d v="2019-07-02T00:00:00"/>
    <s v="Brokerage"/>
    <s v="Inception"/>
    <m/>
    <d v="2020-01-22T00:00:00"/>
  </r>
  <r>
    <s v="Shivam Shah"/>
    <n v="9.9000044190299996E+19"/>
    <s v="Active"/>
    <d v="2019-04-12T00:00:00"/>
    <d v="2019-10-11T00:00:00"/>
    <s v="Engineering"/>
    <n v="13"/>
    <s v="Vididt Saha"/>
    <s v="Ahmedabad"/>
    <s v="Construction, Power &amp; Infrastructure"/>
    <x v="2"/>
    <n v="3007.5"/>
    <d v="2019-04-12T00:00:00"/>
    <s v="Brokerage"/>
    <s v="Inception"/>
    <m/>
    <d v="2020-01-22T00:00:00"/>
  </r>
  <r>
    <s v="Bhavna Bhandari"/>
    <n v="9.9000044190299996E+19"/>
    <s v="Active"/>
    <d v="2019-11-19T00:00:00"/>
    <d v="2020-11-18T00:00:00"/>
    <s v="Engineering"/>
    <n v="13"/>
    <s v="Vididt Saha"/>
    <s v="Ahmedabad"/>
    <s v="Construction, Power &amp; Infrastructure"/>
    <x v="2"/>
    <n v="26804.5"/>
    <d v="2019-11-19T00:00:00"/>
    <s v="Brokerage"/>
    <s v="Inception"/>
    <m/>
    <d v="2020-01-22T00:00:00"/>
  </r>
  <r>
    <s v="Tarun Shah"/>
    <s v="OG-19-2201-0420-00000001"/>
    <s v="Inactive"/>
    <d v="2018-04-01T00:00:00"/>
    <d v="2019-03-31T00:00:00"/>
    <s v="Miscellaneous"/>
    <n v="3"/>
    <s v="Animesh Rawat"/>
    <s v="Ahmedabad"/>
    <s v="Global Client Network (GNB Inward)"/>
    <x v="0"/>
    <n v="1771.98"/>
    <d v="2018-04-01T00:00:00"/>
    <s v="Brokerage"/>
    <s v="Inception"/>
    <m/>
    <d v="2020-01-22T00:00:00"/>
  </r>
  <r>
    <s v="Hemant Chauhan"/>
    <s v="OG-19-2201-0420-00000001"/>
    <s v="Inactive"/>
    <d v="2018-04-01T00:00:00"/>
    <d v="2019-03-31T00:00:00"/>
    <s v="Miscellaneous"/>
    <n v="3"/>
    <s v="Animesh Rawat"/>
    <s v="Ahmedabad"/>
    <s v="Global Client Network (GNB Inward)"/>
    <x v="0"/>
    <n v="681.53"/>
    <d v="2018-04-01T00:00:00"/>
    <s v="Brokerage"/>
    <s v="Inception"/>
    <m/>
    <d v="2020-01-22T00:00:00"/>
  </r>
  <r>
    <s v="Geeta Verma"/>
    <s v="OG-19-2201-0420-00000001"/>
    <s v="Inactive"/>
    <d v="2018-04-01T00:00:00"/>
    <d v="2019-03-31T00:00:00"/>
    <s v="Miscellaneous"/>
    <n v="3"/>
    <s v="Animesh Rawat"/>
    <s v="Ahmedabad"/>
    <s v="Global Client Network (GNB Inward)"/>
    <x v="0"/>
    <n v="272.61"/>
    <d v="2018-04-01T00:00:00"/>
    <s v="Brokerage"/>
    <s v="Inception"/>
    <m/>
    <d v="2020-01-22T00:00:00"/>
  </r>
  <r>
    <s v="Ashok Patel"/>
    <s v="OG-19-2201-0425-00000001"/>
    <s v="Inactive"/>
    <d v="2018-04-01T00:00:00"/>
    <d v="2019-03-31T00:00:00"/>
    <s v="Miscellaneous"/>
    <n v="3"/>
    <s v="Animesh Rawat"/>
    <s v="Ahmedabad"/>
    <s v="Global Client Network (GNB Inward)"/>
    <x v="0"/>
    <n v="4175.3599999999997"/>
    <d v="2018-04-01T00:00:00"/>
    <s v="Brokerage"/>
    <s v="Inception"/>
    <m/>
    <d v="2020-01-22T00:00:00"/>
  </r>
  <r>
    <s v="Gayatri Reddy"/>
    <s v="OG-19-2201-0425-00000001"/>
    <s v="Inactive"/>
    <d v="2018-04-01T00:00:00"/>
    <d v="2019-03-31T00:00:00"/>
    <s v="Miscellaneous"/>
    <n v="3"/>
    <s v="Animesh Rawat"/>
    <s v="Ahmedabad"/>
    <s v="Global Client Network (GNB Inward)"/>
    <x v="0"/>
    <n v="1605.91"/>
    <d v="2018-04-01T00:00:00"/>
    <s v="Brokerage"/>
    <s v="Inception"/>
    <m/>
    <d v="2020-01-22T00:00:00"/>
  </r>
  <r>
    <s v="Snehal Patel"/>
    <s v="OG-19-2201-0425-00000001"/>
    <s v="Inactive"/>
    <d v="2018-04-01T00:00:00"/>
    <d v="2019-03-31T00:00:00"/>
    <s v="Miscellaneous"/>
    <n v="3"/>
    <s v="Animesh Rawat"/>
    <s v="Ahmedabad"/>
    <s v="Global Client Network (GNB Inward)"/>
    <x v="0"/>
    <n v="642.36"/>
    <d v="2018-04-01T00:00:00"/>
    <s v="Brokerage"/>
    <s v="Inception"/>
    <m/>
    <d v="2020-01-22T00:00:00"/>
  </r>
  <r>
    <s v="Vivek Yadav"/>
    <s v="OG-19-2201-4001-00000061"/>
    <s v="Inactive"/>
    <d v="2018-04-01T00:00:00"/>
    <d v="2019-03-31T00:00:00"/>
    <s v="Fire"/>
    <n v="3"/>
    <s v="Animesh Rawat"/>
    <s v="Ahmedabad"/>
    <s v="Global Client Network (GNB Inward)"/>
    <x v="0"/>
    <n v="23863.13"/>
    <d v="2108-03-31T00:00:00"/>
    <s v="Brokerage"/>
    <s v="Inception"/>
    <m/>
    <d v="2020-01-22T00:00:00"/>
  </r>
  <r>
    <s v="Kiran Saxena"/>
    <s v="OG-19-2201-4001-00000061"/>
    <s v="Inactive"/>
    <d v="2018-04-01T00:00:00"/>
    <d v="2019-03-31T00:00:00"/>
    <s v="Fire"/>
    <n v="3"/>
    <s v="Animesh Rawat"/>
    <s v="Ahmedabad"/>
    <s v="Global Client Network (GNB Inward)"/>
    <x v="0"/>
    <n v="9178.1299999999992"/>
    <d v="2108-03-31T00:00:00"/>
    <s v="Brokerage"/>
    <s v="Inception"/>
    <m/>
    <d v="2020-01-22T00:00:00"/>
  </r>
  <r>
    <s v="Uday Reddy"/>
    <s v="OG-19-2201-4001-00000061"/>
    <s v="Inactive"/>
    <d v="2018-04-01T00:00:00"/>
    <d v="2019-03-31T00:00:00"/>
    <s v="Fire"/>
    <n v="3"/>
    <s v="Animesh Rawat"/>
    <s v="Ahmedabad"/>
    <s v="Global Client Network (GNB Inward)"/>
    <x v="0"/>
    <n v="3671.25"/>
    <d v="2108-03-31T00:00:00"/>
    <s v="Brokerage"/>
    <s v="Inception"/>
    <m/>
    <d v="2020-01-22T00:00:00"/>
  </r>
  <r>
    <s v="Anita Pandit"/>
    <s v="OG-19-2201-4001-00000063"/>
    <s v="Inactive"/>
    <d v="2018-04-01T00:00:00"/>
    <d v="2019-03-31T00:00:00"/>
    <s v="Fire"/>
    <n v="3"/>
    <s v="Animesh Rawat"/>
    <s v="Ahmedabad"/>
    <s v="Global Client Network (GNB Inward)"/>
    <x v="0"/>
    <n v="157.13999999999999"/>
    <d v="2018-04-01T00:00:00"/>
    <s v="Brokerage"/>
    <s v="Inception"/>
    <m/>
    <d v="2020-01-22T00:00:00"/>
  </r>
  <r>
    <s v="Hina Malhotra"/>
    <s v="OG-19-2201-4001-00000063"/>
    <s v="Inactive"/>
    <d v="2018-04-01T00:00:00"/>
    <d v="2019-03-31T00:00:00"/>
    <s v="Fire"/>
    <n v="3"/>
    <s v="Animesh Rawat"/>
    <s v="Ahmedabad"/>
    <s v="Global Client Network (GNB Inward)"/>
    <x v="0"/>
    <n v="60.44"/>
    <d v="2018-04-01T00:00:00"/>
    <s v="Brokerage"/>
    <s v="Inception"/>
    <m/>
    <d v="2020-01-22T00:00:00"/>
  </r>
  <r>
    <s v="Alka Patel"/>
    <s v="OG-19-2201-4001-00000063"/>
    <s v="Inactive"/>
    <d v="2018-04-01T00:00:00"/>
    <d v="2019-03-31T00:00:00"/>
    <s v="Fire"/>
    <n v="3"/>
    <s v="Animesh Rawat"/>
    <s v="Ahmedabad"/>
    <s v="Global Client Network (GNB Inward)"/>
    <x v="0"/>
    <n v="24.17"/>
    <d v="2018-04-01T00:00:00"/>
    <s v="Brokerage"/>
    <s v="Inception"/>
    <m/>
    <d v="2020-01-22T00:00:00"/>
  </r>
  <r>
    <s v="Shruti Roy"/>
    <s v="OG-19-2201-4005-00000001"/>
    <s v="Active"/>
    <d v="2018-04-01T00:00:00"/>
    <d v="2019-03-31T00:00:00"/>
    <s v="Fire"/>
    <n v="3"/>
    <s v="Animesh Rawat"/>
    <s v="Ahmedabad"/>
    <s v="Global Client Network (GNB Inward)"/>
    <x v="0"/>
    <n v="23753.439999999999"/>
    <d v="2018-04-01T00:00:00"/>
    <s v="Brokerage"/>
    <s v="Inception"/>
    <m/>
    <d v="2020-01-22T00:00:00"/>
  </r>
  <r>
    <s v="Archana Singh"/>
    <s v="OG-19-2201-4005-00000001"/>
    <s v="Active"/>
    <d v="2018-04-01T00:00:00"/>
    <d v="2019-03-31T00:00:00"/>
    <s v="Fire"/>
    <n v="3"/>
    <s v="Animesh Rawat"/>
    <s v="Ahmedabad"/>
    <s v="Global Client Network (GNB Inward)"/>
    <x v="0"/>
    <n v="9135.94"/>
    <d v="2018-04-01T00:00:00"/>
    <s v="Brokerage"/>
    <s v="Inception"/>
    <m/>
    <d v="2020-01-22T00:00:00"/>
  </r>
  <r>
    <s v="Mukul Goyal"/>
    <s v="OG-19-2201-4005-00000001"/>
    <s v="Active"/>
    <d v="2018-04-01T00:00:00"/>
    <d v="2019-03-31T00:00:00"/>
    <s v="Fire"/>
    <n v="3"/>
    <s v="Animesh Rawat"/>
    <s v="Ahmedabad"/>
    <s v="Global Client Network (GNB Inward)"/>
    <x v="0"/>
    <n v="3654.37"/>
    <d v="2018-04-01T00:00:00"/>
    <s v="Brokerage"/>
    <s v="Inception"/>
    <m/>
    <d v="2020-01-22T00:00:00"/>
  </r>
  <r>
    <s v="Namita Bajaj"/>
    <s v="OG-20-2201-9931-00000664"/>
    <s v="Active"/>
    <d v="2019-04-01T00:00:00"/>
    <d v="2020-03-31T00:00:00"/>
    <s v="Miscellaneous"/>
    <n v="3"/>
    <s v="Animesh Rawat"/>
    <s v="Ahmedabad"/>
    <s v="Global Client Network (GNB Inward)"/>
    <x v="0"/>
    <n v="445.18"/>
    <d v="2019-04-01T00:00:00"/>
    <s v="Brokerage"/>
    <s v="Inception"/>
    <m/>
    <d v="2020-01-22T00:00:00"/>
  </r>
  <r>
    <s v="Nikita Joshi"/>
    <s v="OG-19-2201-4011-00000002"/>
    <s v="Inactive"/>
    <d v="2018-04-01T00:00:00"/>
    <d v="2019-03-31T00:00:00"/>
    <s v="Miscellaneous"/>
    <n v="3"/>
    <s v="Animesh Rawat"/>
    <s v="Ahmedabad"/>
    <s v="Global Client Network (GNB Inward)"/>
    <x v="0"/>
    <n v="1598.68"/>
    <d v="2018-04-01T00:00:00"/>
    <s v="Brokerage"/>
    <s v="Inception"/>
    <m/>
    <d v="2020-01-22T00:00:00"/>
  </r>
  <r>
    <s v="Tejas Shah"/>
    <s v="OG-19-2201-4011-00000002"/>
    <s v="Inactive"/>
    <d v="2018-04-01T00:00:00"/>
    <d v="2019-03-31T00:00:00"/>
    <s v="Miscellaneous"/>
    <n v="3"/>
    <s v="Animesh Rawat"/>
    <s v="Ahmedabad"/>
    <s v="Global Client Network (GNB Inward)"/>
    <x v="0"/>
    <n v="614.88"/>
    <d v="2018-04-01T00:00:00"/>
    <s v="Brokerage"/>
    <s v="Inception"/>
    <m/>
    <d v="2020-01-22T00:00:00"/>
  </r>
  <r>
    <s v="Kavita Rao"/>
    <s v="OG-19-2201-4011-00000002"/>
    <s v="Inactive"/>
    <d v="2018-04-01T00:00:00"/>
    <d v="2019-03-31T00:00:00"/>
    <s v="Miscellaneous"/>
    <n v="3"/>
    <s v="Animesh Rawat"/>
    <s v="Ahmedabad"/>
    <s v="Global Client Network (GNB Inward)"/>
    <x v="0"/>
    <n v="245.95"/>
    <d v="2018-04-01T00:00:00"/>
    <s v="Brokerage"/>
    <s v="Inception"/>
    <m/>
    <d v="2020-01-22T00:00:00"/>
  </r>
  <r>
    <s v="Hemant Shah"/>
    <s v="OG-20-2201-9931-00000664"/>
    <s v="Active"/>
    <d v="2019-04-01T00:00:00"/>
    <d v="2020-03-31T00:00:00"/>
    <s v="Miscellaneous"/>
    <n v="3"/>
    <s v="Animesh Rawat"/>
    <s v="Ahmedabad"/>
    <s v="Global Client Network (GNB Inward)"/>
    <x v="0"/>
    <n v="2077.5100000000002"/>
    <d v="2019-04-01T00:00:00"/>
    <s v="Brokerage"/>
    <s v="Inception"/>
    <m/>
    <d v="2020-01-22T00:00:00"/>
  </r>
  <r>
    <s v="Prabhat Naik"/>
    <s v="OG-20-2201-9931-00000664"/>
    <s v="Active"/>
    <d v="2019-04-01T00:00:00"/>
    <d v="2020-03-31T00:00:00"/>
    <s v="Miscellaneous"/>
    <n v="3"/>
    <s v="Animesh Rawat"/>
    <s v="Ahmedabad"/>
    <s v="Global Client Network (GNB Inward)"/>
    <x v="0"/>
    <n v="445.18"/>
    <d v="2019-04-01T00:00:00"/>
    <s v="Brokerage"/>
    <s v="Inception"/>
    <m/>
    <d v="2020-01-22T00:00:00"/>
  </r>
  <r>
    <s v="Nikhil Tiwari"/>
    <s v="0000000007817932-01"/>
    <s v="Active"/>
    <d v="2018-12-16T00:00:00"/>
    <d v="2019-12-15T00:00:00"/>
    <s v="Fire"/>
    <n v="1"/>
    <s v="Vinay"/>
    <s v="Ahmedabad"/>
    <s v="Property / BI"/>
    <x v="0"/>
    <n v="33484.339999999997"/>
    <d v="2018-12-16T00:00:00"/>
    <s v="Brokerage"/>
    <s v="Inception"/>
    <m/>
    <d v="2020-01-22T00:00:00"/>
  </r>
  <r>
    <s v="Neha Trivedi"/>
    <s v="0000000007817932-02"/>
    <s v="Active"/>
    <d v="2019-12-16T00:00:00"/>
    <d v="2020-12-15T00:00:00"/>
    <s v="Fire"/>
    <n v="2"/>
    <s v="Abhinav Shivam"/>
    <s v="Ahmedabad"/>
    <s v="Small Medium Enterpries (SME)"/>
    <x v="0"/>
    <n v="109812.12"/>
    <d v="2019-12-16T00:00:00"/>
    <s v="Brokerage"/>
    <s v="Inception"/>
    <m/>
    <d v="2020-01-22T00:00:00"/>
  </r>
  <r>
    <s v="Shruti Agarwal"/>
    <n v="3.1242020675749002E+18"/>
    <s v="Active"/>
    <d v="2018-01-10T00:00:00"/>
    <d v="2018-05-31T00:00:00"/>
    <s v="Liability"/>
    <n v="12"/>
    <s v="Shivani Sharma"/>
    <s v="Ahmedabad"/>
    <s v="Global Client Network (GNB Inward)"/>
    <x v="0"/>
    <n v="12084.5"/>
    <d v="2018-01-10T00:00:00"/>
    <s v="Brokerage"/>
    <s v="Inception"/>
    <m/>
    <d v="2020-01-22T00:00:00"/>
  </r>
  <r>
    <s v="Kiran Desai"/>
    <n v="9.9000044170299998E+19"/>
    <s v="Inactive"/>
    <d v="2018-03-26T00:00:00"/>
    <d v="2019-06-25T00:00:00"/>
    <s v="Engineering"/>
    <n v="13"/>
    <s v="Vididt Saha"/>
    <s v="Ahmedabad"/>
    <s v="Construction, Power &amp; Infrastructure"/>
    <x v="1"/>
    <n v="51965.88"/>
    <d v="2018-03-26T00:00:00"/>
    <s v="Brokerage"/>
    <s v="Lapse"/>
    <s v="OTHR â€“ Other"/>
    <d v="2020-01-22T00:00:00"/>
  </r>
  <r>
    <s v="Kanchan Iyer"/>
    <n v="9.9000044180300005E+19"/>
    <s v="Inactive"/>
    <d v="2018-06-07T00:00:00"/>
    <d v="2019-06-06T00:00:00"/>
    <s v="Engineering"/>
    <n v="13"/>
    <s v="Vididt Saha"/>
    <s v="Ahmedabad"/>
    <s v="Construction, Power &amp; Infrastructure"/>
    <x v="2"/>
    <n v="25619.25"/>
    <d v="2018-06-07T00:00:00"/>
    <s v="Brokerage"/>
    <s v="Lapse"/>
    <s v="OTHR â€“ Other"/>
    <d v="2020-01-22T00:00:00"/>
  </r>
  <r>
    <s v="Bhavna Kapoor"/>
    <n v="9.9000044190299996E+19"/>
    <s v="Active"/>
    <d v="2019-06-26T00:00:00"/>
    <d v="2019-12-25T00:00:00"/>
    <s v="Engineering"/>
    <n v="13"/>
    <s v="Vididt Saha"/>
    <s v="Ahmedabad"/>
    <s v="Construction, Power &amp; Infrastructure"/>
    <x v="2"/>
    <n v="25598"/>
    <d v="2019-06-26T00:00:00"/>
    <s v="Brokerage"/>
    <s v="Inception"/>
    <m/>
    <d v="2020-01-22T00:00:00"/>
  </r>
  <r>
    <s v="Ritika Reddy"/>
    <n v="9.9000044190299996E+19"/>
    <s v="Active"/>
    <d v="2019-06-26T00:00:00"/>
    <d v="2019-12-25T00:00:00"/>
    <s v="Engineering"/>
    <n v="13"/>
    <s v="Vididt Saha"/>
    <s v="Ahmedabad"/>
    <s v="Construction, Power &amp; Infrastructure"/>
    <x v="2"/>
    <n v="25598"/>
    <d v="2019-06-26T00:00:00"/>
    <s v="Brokerage"/>
    <s v="Inception"/>
    <m/>
    <d v="2020-01-22T00:00:00"/>
  </r>
  <r>
    <s v="Suresh Das"/>
    <n v="9.9000044190299996E+19"/>
    <s v="Active"/>
    <d v="2019-11-22T00:00:00"/>
    <d v="2020-03-21T00:00:00"/>
    <s v="Engineering"/>
    <n v="13"/>
    <s v="Vididt Saha"/>
    <s v="Ahmedabad"/>
    <s v="Construction, Power &amp; Infrastructure"/>
    <x v="1"/>
    <n v="12643.38"/>
    <d v="2019-11-22T00:00:00"/>
    <s v="Brokerage"/>
    <s v="Inception"/>
    <m/>
    <d v="2020-01-22T00:00:00"/>
  </r>
  <r>
    <s v="Shikha Chauhan"/>
    <n v="9.9000044190299996E+19"/>
    <s v="Active"/>
    <d v="2019-12-26T00:00:00"/>
    <d v="2020-06-25T00:00:00"/>
    <s v="Engineering"/>
    <n v="13"/>
    <s v="Vididt Saha"/>
    <s v="Ahmedabad"/>
    <s v="Construction, Power &amp; Infrastructure"/>
    <x v="2"/>
    <n v="25598"/>
    <d v="2019-12-26T00:00:00"/>
    <s v="Brokerage"/>
    <s v="Inception"/>
    <m/>
    <d v="2020-01-22T00:00:00"/>
  </r>
  <r>
    <s v="Hemant Dutta"/>
    <s v="0526002817P114267969/0"/>
    <s v="Inactive"/>
    <d v="2018-01-01T00:00:00"/>
    <d v="2018-12-31T00:00:00"/>
    <s v="Employee Benefits"/>
    <n v="10"/>
    <s v="Mark"/>
    <s v="Ahmedabad"/>
    <s v="Employee Benefits (EB)"/>
    <x v="0"/>
    <n v="1474120.36"/>
    <d v="2018-01-01T00:00:00"/>
    <s v="Brokerage"/>
    <s v="Lapse"/>
    <s v="GMAN â€“ Global Mandate"/>
    <d v="2020-01-22T00:00:00"/>
  </r>
  <r>
    <s v="Dinesh Pandey"/>
    <s v="0526002817P114267969/0"/>
    <s v="Inactive"/>
    <d v="2018-01-01T00:00:00"/>
    <d v="2018-12-31T00:00:00"/>
    <s v="Employee Benefits"/>
    <n v="10"/>
    <s v="Mark"/>
    <s v="Ahmedabad"/>
    <s v="Employee Benefits (EB)"/>
    <x v="0"/>
    <m/>
    <d v="2018-09-28T00:00:00"/>
    <s v="Brokerage "/>
    <s v="Lapse"/>
    <m/>
    <d v="2020-01-22T00:00:00"/>
  </r>
  <r>
    <s v="Archana Iyer"/>
    <s v="0526004217P114582552/0"/>
    <s v="Inactive"/>
    <d v="2018-01-01T00:00:00"/>
    <d v="2018-12-31T00:00:00"/>
    <s v="Employee Benefits"/>
    <n v="10"/>
    <s v="Mark"/>
    <s v="Ahmedabad"/>
    <s v="Employee Benefits (EB)"/>
    <x v="0"/>
    <n v="34349.81"/>
    <d v="2018-01-01T00:00:00"/>
    <s v="Brokerage"/>
    <s v="Lapse"/>
    <s v="GMAN â€“ Global Mandate"/>
    <d v="2020-01-22T00:00:00"/>
  </r>
  <r>
    <s v="Deepak Menon"/>
    <n v="5051621"/>
    <s v="Inactive"/>
    <d v="2018-01-01T00:00:00"/>
    <d v="2018-12-31T00:00:00"/>
    <s v="Employee Benefits"/>
    <n v="10"/>
    <s v="Mark"/>
    <s v="Ahmedabad"/>
    <s v="Employee Benefits (EB)"/>
    <x v="0"/>
    <n v="51883.58"/>
    <d v="2018-01-01T00:00:00"/>
    <s v="Brokerage"/>
    <s v="Lapse"/>
    <s v="GMAN â€“ Global Mandate"/>
    <d v="2020-01-22T00:00:00"/>
  </r>
  <r>
    <s v="Vivek Gupta"/>
    <n v="43145480"/>
    <s v="Inactive"/>
    <d v="2017-07-03T00:00:00"/>
    <d v="2018-07-02T00:00:00"/>
    <s v="Miscellaneous"/>
    <n v="13"/>
    <s v="Vididt Saha"/>
    <s v="Ahmedabad"/>
    <s v="Employee Benefits (EB)"/>
    <x v="0"/>
    <n v="15963.92"/>
    <d v="2017-07-03T00:00:00"/>
    <s v="Brokerage"/>
    <s v="Inception"/>
    <m/>
    <d v="2020-01-22T00:00:00"/>
  </r>
  <r>
    <s v="Rina Shah"/>
    <n v="43168449"/>
    <s v="Inactive"/>
    <d v="2018-07-03T00:00:00"/>
    <d v="2019-07-02T00:00:00"/>
    <s v="Miscellaneous"/>
    <n v="13"/>
    <s v="Vididt Saha"/>
    <s v="Ahmedabad"/>
    <s v="Employee Benefits (EB)"/>
    <x v="0"/>
    <n v="0"/>
    <d v="2018-07-03T00:00:00"/>
    <s v="Brokerage"/>
    <s v="Renewal"/>
    <m/>
    <d v="2020-01-22T00:00:00"/>
  </r>
  <r>
    <s v="Uday Prasad"/>
    <n v="43191791"/>
    <s v="Active"/>
    <d v="2019-07-03T00:00:00"/>
    <d v="2019-10-02T00:00:00"/>
    <s v="Miscellaneous"/>
    <n v="13"/>
    <s v="Vididt Saha"/>
    <s v="Ahmedabad"/>
    <s v="Employee Benefits (EB)"/>
    <x v="0"/>
    <n v="956.34"/>
    <d v="2019-07-03T00:00:00"/>
    <s v="Brokerage"/>
    <s v="Renewal"/>
    <m/>
    <d v="2020-01-22T00:00:00"/>
  </r>
  <r>
    <s v="Nitin Kapoor"/>
    <n v="2.2210011170099999E+19"/>
    <s v="Inactive"/>
    <d v="2018-01-12T00:00:00"/>
    <d v="2019-01-11T00:00:00"/>
    <s v="Fire"/>
    <n v="13"/>
    <s v="Vididt Saha"/>
    <s v="Ahmedabad"/>
    <s v="Property / BI"/>
    <x v="1"/>
    <n v="5416.62"/>
    <d v="2018-01-12T00:00:00"/>
    <s v="Brokerage"/>
    <s v="Inception"/>
    <m/>
    <d v="2020-01-22T00:00:00"/>
  </r>
  <r>
    <s v="Harish Kaul"/>
    <n v="2.2210021170199998E+19"/>
    <s v="Inactive"/>
    <d v="2018-01-12T00:00:00"/>
    <d v="2019-01-11T00:00:00"/>
    <s v="Marine"/>
    <n v="13"/>
    <s v="Vididt Saha"/>
    <s v="Ahmedabad"/>
    <s v="Marine"/>
    <x v="1"/>
    <n v="6195.75"/>
    <d v="2018-01-12T00:00:00"/>
    <s v="Brokerage"/>
    <s v="Inception"/>
    <m/>
    <d v="2020-01-22T00:00:00"/>
  </r>
  <r>
    <s v="Neeraj Arora"/>
    <n v="2.2210046170099999E+19"/>
    <s v="Inactive"/>
    <d v="2018-01-12T00:00:00"/>
    <d v="2019-01-11T00:00:00"/>
    <s v="Miscellaneous"/>
    <n v="13"/>
    <s v="Vididt Saha"/>
    <s v="Ahmedabad"/>
    <s v="Property / BI"/>
    <x v="2"/>
    <n v="518.13"/>
    <d v="2018-01-12T00:00:00"/>
    <s v="Brokerage"/>
    <s v="Inception"/>
    <m/>
    <d v="2020-01-22T00:00:00"/>
  </r>
  <r>
    <s v="Mukul Kumar"/>
    <n v="3.1142019576752998E+18"/>
    <s v="Inactive"/>
    <d v="2018-10-19T00:00:00"/>
    <d v="2019-10-18T00:00:00"/>
    <s v="Miscellaneous"/>
    <n v="13"/>
    <s v="Vididt Saha"/>
    <s v="Ahmedabad"/>
    <s v="Liability"/>
    <x v="2"/>
    <n v="2767.5"/>
    <d v="2018-10-19T00:00:00"/>
    <s v="Brokerage"/>
    <s v="Lapse"/>
    <s v="NOLN - No Longer Needed"/>
    <d v="2020-01-22T00:00:00"/>
  </r>
  <r>
    <s v="Gauri Naik"/>
    <n v="3.1142031258438999E+18"/>
    <s v="Active"/>
    <d v="2019-10-25T00:00:00"/>
    <d v="2020-10-24T00:00:00"/>
    <s v="Miscellaneous"/>
    <n v="13"/>
    <s v="Vididt Saha"/>
    <s v="Ahmedabad"/>
    <s v="Liability"/>
    <x v="2"/>
    <n v="8198.25"/>
    <d v="2019-10-25T00:00:00"/>
    <s v="Brokerage"/>
    <s v="Inception"/>
    <m/>
    <d v="2020-01-22T00:00:00"/>
  </r>
  <r>
    <s v="Harish Menon"/>
    <s v="MCO/I3350570/71/01/006343"/>
    <s v="Active"/>
    <d v="2019-01-12T00:00:00"/>
    <d v="2020-01-11T00:00:00"/>
    <s v="Marine"/>
    <n v="13"/>
    <s v="Vididt Saha"/>
    <s v="Ahmedabad"/>
    <s v="Marine"/>
    <x v="1"/>
    <n v="9075"/>
    <d v="2019-01-12T00:00:00"/>
    <s v="Brokerage"/>
    <s v="Renewal"/>
    <m/>
    <d v="2020-01-22T00:00:00"/>
  </r>
  <r>
    <s v="Mohit Gupta"/>
    <s v="MCO/I3350570/71/01/006343"/>
    <s v="Active"/>
    <d v="2019-01-12T00:00:00"/>
    <d v="2020-01-11T00:00:00"/>
    <s v="Marine"/>
    <n v="13"/>
    <s v="Vididt Saha"/>
    <s v="Ahmedabad"/>
    <s v="Marine"/>
    <x v="1"/>
    <n v="9075"/>
    <d v="2019-01-12T00:00:00"/>
    <s v="Brokerage"/>
    <s v="Renewal"/>
    <m/>
    <d v="2020-01-22T00:00:00"/>
  </r>
  <r>
    <s v="Amit Arora"/>
    <s v="PBI/I3352741/71/01/006343"/>
    <s v="Active"/>
    <d v="2019-01-12T00:00:00"/>
    <d v="2020-01-11T00:00:00"/>
    <s v="Miscellaneous"/>
    <n v="13"/>
    <s v="Vididt Saha"/>
    <s v="Ahmedabad"/>
    <s v="Property / BI"/>
    <x v="2"/>
    <n v="521.25"/>
    <d v="2019-01-12T00:00:00"/>
    <s v="Brokerage"/>
    <s v="Renewal"/>
    <m/>
    <d v="2020-01-22T00:00:00"/>
  </r>
  <r>
    <s v="Nikita Pandit"/>
    <s v="PFS/I3353707/71/01/006343"/>
    <s v="Active"/>
    <d v="2019-01-12T00:00:00"/>
    <d v="2020-01-11T00:00:00"/>
    <s v="Fire"/>
    <n v="13"/>
    <s v="Vididt Saha"/>
    <s v="Ahmedabad"/>
    <s v="Property / BI"/>
    <x v="1"/>
    <n v="7889.31"/>
    <d v="2019-01-12T00:00:00"/>
    <s v="Brokerage"/>
    <s v="Renewal"/>
    <m/>
    <d v="2020-01-22T00:00:00"/>
  </r>
  <r>
    <s v="Vikas Gupta"/>
    <n v="33393"/>
    <s v="Inactive"/>
    <d v="2018-11-01T00:00:00"/>
    <d v="2019-10-31T00:00:00"/>
    <s v="Employee Benefits"/>
    <n v="10"/>
    <s v="Mark"/>
    <s v="Ahmedabad"/>
    <s v="Employee Benefits (EB)"/>
    <x v="0"/>
    <n v="90307.75"/>
    <d v="2018-11-01T00:00:00"/>
    <s v="Brokerage"/>
    <s v="Inception"/>
    <m/>
    <d v="2020-01-22T00:00:00"/>
  </r>
  <r>
    <s v="Kamlesh Pillai"/>
    <n v="3393"/>
    <s v="Active"/>
    <d v="2019-11-01T00:00:00"/>
    <d v="2020-10-31T00:00:00"/>
    <s v="Employee Benefits"/>
    <n v="10"/>
    <s v="Mark"/>
    <s v="Ahmedabad"/>
    <s v="Employee Benefits (EB)"/>
    <x v="0"/>
    <n v="114751.5"/>
    <d v="2019-11-01T00:00:00"/>
    <s v="Brokerage"/>
    <s v="Renewal"/>
    <m/>
    <d v="2020-01-22T00:00:00"/>
  </r>
  <r>
    <s v="Umesh Agarwal"/>
    <n v="2301001342"/>
    <s v="Active"/>
    <d v="2018-11-01T00:00:00"/>
    <d v="2019-10-31T00:00:00"/>
    <s v="Liability"/>
    <n v="3"/>
    <s v="Animesh Rawat"/>
    <s v="Ahmedabad"/>
    <s v="Global Client Network (GNB Inward)"/>
    <x v="0"/>
    <n v="52751.13"/>
    <d v="2018-11-01T00:00:00"/>
    <s v="Brokerage"/>
    <s v="Inception"/>
    <m/>
    <d v="2020-01-22T00:00:00"/>
  </r>
  <r>
    <s v="Ankur Gandhi"/>
    <n v="2302002435"/>
    <s v="Active"/>
    <d v="2018-11-01T00:00:00"/>
    <d v="2019-10-31T00:00:00"/>
    <s v="Liability"/>
    <n v="3"/>
    <s v="Animesh Rawat"/>
    <s v="Ahmedabad"/>
    <s v="Global Client Network (GNB Inward)"/>
    <x v="0"/>
    <n v="53125"/>
    <d v="2018-11-01T00:00:00"/>
    <s v="Brokerage"/>
    <s v="Inception"/>
    <m/>
    <d v="2020-01-22T00:00:00"/>
  </r>
  <r>
    <s v="Dinesh Kaul"/>
    <s v="4006/79486382/05/000"/>
    <s v="Active"/>
    <d v="2018-11-01T00:00:00"/>
    <d v="2019-10-31T00:00:00"/>
    <s v="Miscellaneous"/>
    <n v="3"/>
    <s v="Animesh Rawat"/>
    <s v="Ahmedabad"/>
    <s v="Global Client Network (GNB Inward)"/>
    <x v="0"/>
    <n v="359.13"/>
    <d v="2018-11-01T00:00:00"/>
    <s v="Brokerage"/>
    <s v="Inception"/>
    <m/>
    <d v="2020-01-22T00:00:00"/>
  </r>
  <r>
    <s v="Ankur Naik"/>
    <s v="4010/141353816/01/000"/>
    <s v="Active"/>
    <d v="2018-11-01T00:00:00"/>
    <d v="2019-10-31T00:00:00"/>
    <s v="Miscellaneous"/>
    <n v="3"/>
    <s v="Animesh Rawat"/>
    <s v="Ahmedabad"/>
    <s v="Global Client Network (GNB Inward)"/>
    <x v="0"/>
    <n v="0"/>
    <d v="2018-11-01T00:00:00"/>
    <s v="Brokerage"/>
    <s v="Inception"/>
    <m/>
    <d v="2020-01-22T00:00:00"/>
  </r>
  <r>
    <s v="LAP"/>
    <s v="4066/140501600/01/000"/>
    <s v="Active"/>
    <d v="2018-11-01T00:00:00"/>
    <d v="2019-10-31T00:00:00"/>
    <s v="Liability"/>
    <n v="3"/>
    <s v="Animesh Rawat"/>
    <s v="Ahmedabad"/>
    <s v="Global Client Network (GNB Inward)"/>
    <x v="0"/>
    <n v="0"/>
    <d v="2018-11-01T00:00:00"/>
    <s v="Brokerage"/>
    <s v="Inception"/>
    <m/>
    <d v="2020-01-22T00:00:00"/>
  </r>
  <r>
    <s v="LAP"/>
    <s v="4086/160357783/00/000"/>
    <s v="Active"/>
    <d v="2018-11-01T00:00:00"/>
    <d v="2019-10-31T00:00:00"/>
    <s v="Fire"/>
    <n v="3"/>
    <s v="Animesh Rawat"/>
    <s v="Ahmedabad"/>
    <s v="Global Client Network (GNB Inward)"/>
    <x v="0"/>
    <n v="0"/>
    <d v="2018-11-01T00:00:00"/>
    <s v="Brokerage"/>
    <s v="Inception"/>
    <m/>
    <d v="2020-01-22T00:00:00"/>
  </r>
  <r>
    <s v="LAP"/>
    <n v="54407334"/>
    <s v="Active"/>
    <d v="2019-01-01T00:00:00"/>
    <d v="2019-12-31T00:00:00"/>
    <s v="Employee Benefits"/>
    <n v="10"/>
    <s v="Mark"/>
    <s v="Ahmedabad"/>
    <s v="Employee Benefits (EB)"/>
    <x v="0"/>
    <n v="23387.4"/>
    <d v="2019-01-01T00:00:00"/>
    <s v="Brokerage"/>
    <s v="Inception"/>
    <m/>
    <d v="2020-01-22T00:00:00"/>
  </r>
  <r>
    <s v="LAP"/>
    <s v="H0048996"/>
    <s v="Active"/>
    <d v="2019-01-01T00:00:00"/>
    <d v="2019-12-31T00:00:00"/>
    <s v="Employee Benefits"/>
    <n v="10"/>
    <s v="Mark"/>
    <s v="Ahmedabad"/>
    <s v="Employee Benefits (EB)"/>
    <x v="0"/>
    <n v="914998.58"/>
    <d v="2019-01-01T00:00:00"/>
    <s v="Brokerage"/>
    <s v="Endorsement"/>
    <m/>
    <d v="2020-01-22T00:00:00"/>
  </r>
  <r>
    <s v="LAP"/>
    <s v="H0048996"/>
    <s v="Active"/>
    <d v="2019-01-01T00:00:00"/>
    <d v="2019-12-31T00:00:00"/>
    <s v="Employee Benefits"/>
    <n v="10"/>
    <s v="Mark"/>
    <s v="Ahmedabad"/>
    <s v="Employee Benefits (EB)"/>
    <x v="0"/>
    <n v="93906.08"/>
    <d v="2019-03-07T00:00:00"/>
    <s v="Brokerage "/>
    <s v="Endorsement"/>
    <m/>
    <d v="2020-01-22T00:00:00"/>
  </r>
  <r>
    <s v="LAP"/>
    <s v="H0048996"/>
    <s v="Active"/>
    <d v="2019-01-01T00:00:00"/>
    <d v="2019-12-31T00:00:00"/>
    <s v="Employee Benefits"/>
    <n v="10"/>
    <s v="Mark"/>
    <s v="Ahmedabad"/>
    <s v="Employee Benefits (EB)"/>
    <x v="0"/>
    <n v="27435"/>
    <d v="2019-01-23T00:00:00"/>
    <s v="Brokerage "/>
    <s v="Endorsement"/>
    <m/>
    <d v="2020-01-22T00:00:00"/>
  </r>
  <r>
    <s v="LAP"/>
    <s v="H0048996"/>
    <s v="Active"/>
    <d v="2019-01-01T00:00:00"/>
    <d v="2019-12-31T00:00:00"/>
    <s v="Employee Benefits"/>
    <n v="10"/>
    <s v="Mark"/>
    <s v="Ahmedabad"/>
    <s v="Employee Benefits (EB)"/>
    <x v="0"/>
    <n v="32391.85"/>
    <d v="2019-05-10T00:00:00"/>
    <s v="Brokerage "/>
    <s v="Endorsement"/>
    <m/>
    <d v="2020-01-22T00:00:00"/>
  </r>
  <r>
    <s v="LAP"/>
    <s v="H0048996"/>
    <s v="Active"/>
    <d v="2019-01-01T00:00:00"/>
    <d v="2019-12-31T00:00:00"/>
    <s v="Employee Benefits"/>
    <n v="10"/>
    <s v="Mark"/>
    <s v="Ahmedabad"/>
    <s v="Employee Benefits (EB)"/>
    <x v="0"/>
    <n v="9941.16"/>
    <d v="2019-07-10T00:00:00"/>
    <s v="Brokerage "/>
    <s v="Endorsement"/>
    <m/>
    <d v="2020-01-22T00:00:00"/>
  </r>
  <r>
    <s v="LAP"/>
    <s v="H0048996"/>
    <s v="Active"/>
    <d v="2019-01-01T00:00:00"/>
    <d v="2019-12-31T00:00:00"/>
    <s v="Employee Benefits"/>
    <n v="10"/>
    <s v="Mark"/>
    <s v="Ahmedabad"/>
    <s v="Employee Benefits (EB)"/>
    <x v="0"/>
    <n v="27681.48"/>
    <d v="2019-08-14T00:00:00"/>
    <s v="Brokerage "/>
    <s v="Endorsement"/>
    <m/>
    <d v="2020-01-22T00:00:00"/>
  </r>
  <r>
    <s v="LAP"/>
    <s v="H0048996"/>
    <s v="Active"/>
    <d v="2019-01-01T00:00:00"/>
    <d v="2019-12-31T00:00:00"/>
    <s v="Employee Benefits"/>
    <n v="10"/>
    <s v="Mark"/>
    <s v="Ahmedabad"/>
    <s v="Employee Benefits (EB)"/>
    <x v="0"/>
    <n v="18901.02"/>
    <d v="2019-09-14T00:00:00"/>
    <s v="Brokerage "/>
    <s v="Endorsement"/>
    <m/>
    <d v="2020-01-22T00:00:00"/>
  </r>
  <r>
    <s v="LAP"/>
    <s v="H0048996"/>
    <s v="Active"/>
    <d v="2019-01-01T00:00:00"/>
    <d v="2019-12-31T00:00:00"/>
    <s v="Employee Benefits"/>
    <n v="10"/>
    <s v="Mark"/>
    <s v="Ahmedabad"/>
    <s v="Employee Benefits (EB)"/>
    <x v="0"/>
    <n v="46994.85"/>
    <d v="2019-01-29T00:00:00"/>
    <s v="Brokerage "/>
    <s v="Endorsement"/>
    <m/>
    <d v="2020-01-22T00:00:00"/>
  </r>
  <r>
    <s v="LAP"/>
    <s v="H0048996"/>
    <s v="Active"/>
    <d v="2019-01-01T00:00:00"/>
    <d v="2019-12-31T00:00:00"/>
    <s v="Employee Benefits"/>
    <n v="10"/>
    <s v="Mark"/>
    <s v="Ahmedabad"/>
    <s v="Employee Benefits (EB)"/>
    <x v="0"/>
    <n v="17139.5"/>
    <d v="2019-10-11T00:00:00"/>
    <s v="Brokerage "/>
    <s v="Endorsement"/>
    <m/>
    <d v="2020-01-22T00:00:00"/>
  </r>
  <r>
    <s v="LAP"/>
    <s v="H0048996"/>
    <s v="Active"/>
    <d v="2019-01-01T00:00:00"/>
    <d v="2019-12-31T00:00:00"/>
    <s v="Employee Benefits"/>
    <n v="10"/>
    <s v="Mark"/>
    <s v="Ahmedabad"/>
    <s v="Employee Benefits (EB)"/>
    <x v="0"/>
    <n v="8560.86"/>
    <d v="2019-11-14T00:00:00"/>
    <s v="Brokerage "/>
    <s v="Endorsement"/>
    <m/>
    <d v="2020-01-22T00:00:00"/>
  </r>
  <r>
    <s v="LAP"/>
    <s v="H0048996"/>
    <s v="Active"/>
    <d v="2019-01-01T00:00:00"/>
    <d v="2019-12-31T00:00:00"/>
    <s v="Employee Benefits"/>
    <n v="10"/>
    <s v="Mark"/>
    <s v="Ahmedabad"/>
    <s v="Employee Benefits (EB)"/>
    <x v="0"/>
    <n v="1288.6600000000001"/>
    <d v="2019-12-03T00:00:00"/>
    <s v="Brokerage "/>
    <s v="Endorsement"/>
    <m/>
    <d v="2020-01-22T00:00:00"/>
  </r>
  <r>
    <s v="LAP"/>
    <s v="H0048996"/>
    <s v="Active"/>
    <d v="2019-01-01T00:00:00"/>
    <d v="2019-12-31T00:00:00"/>
    <s v="Employee Benefits"/>
    <n v="10"/>
    <s v="Mark"/>
    <s v="Ahmedabad"/>
    <s v="Employee Benefits (EB)"/>
    <x v="0"/>
    <n v="1208.3800000000001"/>
    <d v="2019-12-19T00:00:00"/>
    <s v="Brokerage "/>
    <s v="Endorsement"/>
    <m/>
    <d v="2020-01-22T00:00:00"/>
  </r>
  <r>
    <s v="LAP"/>
    <s v="H0048996"/>
    <s v="Active"/>
    <d v="2019-01-01T00:00:00"/>
    <d v="2019-12-31T00:00:00"/>
    <s v="Employee Benefits"/>
    <n v="10"/>
    <s v="Mark"/>
    <s v="Ahmedabad"/>
    <s v="Employee Benefits (EB)"/>
    <x v="0"/>
    <n v="18696.68"/>
    <d v="2019-03-11T00:00:00"/>
    <s v="Brokerage "/>
    <s v="Endorsement"/>
    <m/>
    <d v="2020-01-22T00:00:00"/>
  </r>
  <r>
    <s v="LAP"/>
    <s v="H0056637"/>
    <s v="Active"/>
    <d v="2019-01-01T00:00:00"/>
    <d v="2019-12-31T00:00:00"/>
    <s v="Employee Benefits"/>
    <n v="10"/>
    <s v="Mark"/>
    <s v="Ahmedabad"/>
    <s v="Employee Benefits (EB)"/>
    <x v="0"/>
    <n v="49788.75"/>
    <d v="2019-01-01T00:00:00"/>
    <s v="Brokerage"/>
    <s v="Endorsement"/>
    <m/>
    <d v="2020-01-22T00:00:00"/>
  </r>
  <r>
    <s v="LAP"/>
    <s v="H0056637"/>
    <s v="Active"/>
    <d v="2019-01-01T00:00:00"/>
    <d v="2019-12-31T00:00:00"/>
    <s v="Employee Benefits"/>
    <n v="10"/>
    <s v="Mark"/>
    <s v="Ahmedabad"/>
    <s v="Employee Benefits (EB)"/>
    <x v="0"/>
    <n v="49026.75"/>
    <d v="2019-01-29T00:00:00"/>
    <s v="Brokerage "/>
    <s v="Endorsement"/>
    <m/>
    <d v="2020-01-22T00:00:00"/>
  </r>
  <r>
    <s v="LAP"/>
    <s v="H0056637"/>
    <s v="Active"/>
    <d v="2019-01-01T00:00:00"/>
    <d v="2019-12-31T00:00:00"/>
    <s v="Employee Benefits"/>
    <n v="10"/>
    <s v="Mark"/>
    <s v="Ahmedabad"/>
    <s v="Employee Benefits (EB)"/>
    <x v="0"/>
    <n v="1613.78"/>
    <d v="2019-03-11T00:00:00"/>
    <s v="Brokerage "/>
    <s v="Endorsement"/>
    <m/>
    <d v="2020-01-22T00:00:00"/>
  </r>
  <r>
    <s v="LAP"/>
    <s v="H0056637"/>
    <s v="Active"/>
    <d v="2019-01-01T00:00:00"/>
    <d v="2019-12-31T00:00:00"/>
    <s v="Employee Benefits"/>
    <n v="10"/>
    <s v="Mark"/>
    <s v="Ahmedabad"/>
    <s v="Employee Benefits (EB)"/>
    <x v="0"/>
    <n v="49026.66"/>
    <d v="2019-02-04T00:00:00"/>
    <s v="Brokerage "/>
    <s v="Endorsement"/>
    <m/>
    <d v="2020-01-22T00:00:00"/>
  </r>
  <r>
    <s v="LAP"/>
    <s v="020W000078800000"/>
    <s v="Active"/>
    <d v="2018-06-08T00:00:00"/>
    <d v="2019-06-07T00:00:00"/>
    <s v="Miscellaneous"/>
    <n v="3"/>
    <s v="Animesh Rawat"/>
    <s v="Ahmedabad"/>
    <s v="Employee Benefits (EB)"/>
    <x v="0"/>
    <n v="8117.5"/>
    <d v="2018-06-08T00:00:00"/>
    <s v="Brokerage"/>
    <s v="Inception"/>
    <m/>
    <d v="2020-01-22T00:00:00"/>
  </r>
  <r>
    <s v="LAP"/>
    <s v="0830017645 02"/>
    <s v="Active"/>
    <d v="2018-06-03T00:00:00"/>
    <d v="2019-06-02T00:00:00"/>
    <s v="Marine"/>
    <n v="3"/>
    <s v="Animesh Rawat"/>
    <s v="Ahmedabad"/>
    <s v="Global Client Network (GNB Inward)"/>
    <x v="0"/>
    <n v="21614.86"/>
    <d v="2018-06-03T00:00:00"/>
    <s v="Brokerage"/>
    <s v="Inception"/>
    <m/>
    <d v="2020-01-22T00:00:00"/>
  </r>
  <r>
    <s v="LAP"/>
    <n v="2640009793"/>
    <s v="Active"/>
    <d v="2018-06-03T00:00:00"/>
    <d v="2019-06-02T00:00:00"/>
    <s v="Engineering"/>
    <n v="3"/>
    <s v="Animesh Rawat"/>
    <s v="Ahmedabad"/>
    <s v="Global Client Network (GNB Inward)"/>
    <x v="0"/>
    <n v="60990.71"/>
    <d v="2018-06-03T00:00:00"/>
    <s v="Brokerage"/>
    <s v="Inception"/>
    <m/>
    <d v="2020-01-22T00:00:00"/>
  </r>
  <r>
    <s v="LAP"/>
    <s v="OG-19-2202-0425-00000002"/>
    <s v="Active"/>
    <d v="2018-04-01T00:00:00"/>
    <d v="2019-03-31T00:00:00"/>
    <s v="Miscellaneous"/>
    <n v="3"/>
    <s v="Animesh Rawat"/>
    <s v="Ahmedabad"/>
    <s v="Global Client Network (GNB Inward)"/>
    <x v="0"/>
    <n v="423.9"/>
    <d v="2018-04-01T00:00:00"/>
    <s v="Brokerage"/>
    <s v="Inception"/>
    <m/>
    <d v="2020-01-22T00:00:00"/>
  </r>
  <r>
    <s v="LAP"/>
    <s v="OG-19-2202-0425-00000002"/>
    <s v="Active"/>
    <d v="2018-04-01T00:00:00"/>
    <d v="2019-03-31T00:00:00"/>
    <s v="Miscellaneous"/>
    <n v="3"/>
    <s v="Animesh Rawat"/>
    <s v="Ahmedabad"/>
    <s v="Global Client Network (GNB Inward)"/>
    <x v="0"/>
    <n v="105.98"/>
    <d v="2018-04-01T00:00:00"/>
    <s v="Brokerage"/>
    <s v="Inception"/>
    <m/>
    <d v="2020-01-22T00:00:00"/>
  </r>
  <r>
    <s v="LAP"/>
    <s v="OG-19-2202-0425-00000003"/>
    <s v="Active"/>
    <d v="2018-04-01T00:00:00"/>
    <d v="2019-03-31T00:00:00"/>
    <s v="Miscellaneous"/>
    <n v="3"/>
    <s v="Animesh Rawat"/>
    <s v="Ahmedabad"/>
    <s v="Global Client Network (GNB Inward)"/>
    <x v="0"/>
    <n v="1897.66"/>
    <d v="2018-04-01T00:00:00"/>
    <s v="Brokerage"/>
    <s v="Inception"/>
    <m/>
    <d v="2020-01-22T00:00:00"/>
  </r>
  <r>
    <s v="LAP"/>
    <s v="OG-19-2202-0425-00000003"/>
    <s v="Active"/>
    <d v="2018-04-01T00:00:00"/>
    <d v="2019-03-31T00:00:00"/>
    <s v="Miscellaneous"/>
    <n v="3"/>
    <s v="Animesh Rawat"/>
    <s v="Ahmedabad"/>
    <s v="Global Client Network (GNB Inward)"/>
    <x v="0"/>
    <n v="474.42"/>
    <d v="2018-04-01T00:00:00"/>
    <s v="Brokerage"/>
    <s v="Inception"/>
    <m/>
    <d v="2020-01-22T00:00:00"/>
  </r>
  <r>
    <s v="LAP"/>
    <s v="OG-19-2202-1018-00000009"/>
    <s v="Active"/>
    <d v="2018-04-01T00:00:00"/>
    <d v="2019-03-31T00:00:00"/>
    <s v="Marine"/>
    <n v="3"/>
    <s v="Animesh Rawat"/>
    <s v="Ahmedabad"/>
    <s v="Marine"/>
    <x v="0"/>
    <n v="44063.25"/>
    <d v="2018-04-01T00:00:00"/>
    <s v="Brokerage"/>
    <s v="Inception"/>
    <m/>
    <d v="2020-01-22T00:00:00"/>
  </r>
  <r>
    <s v="LAP"/>
    <s v="OG-19-2202-4001-00007099"/>
    <s v="Active"/>
    <d v="2018-10-15T00:00:00"/>
    <d v="2019-10-14T00:00:00"/>
    <s v="Fire"/>
    <n v="12"/>
    <s v="Shivani Sharma"/>
    <s v="Ahmedabad"/>
    <s v="Global Client Network (GNB Inward)"/>
    <x v="2"/>
    <n v="16387.5"/>
    <d v="2018-10-15T00:00:00"/>
    <s v="Brokerage"/>
    <s v="Inception"/>
    <m/>
    <d v="2020-01-22T00:00:00"/>
  </r>
  <r>
    <s v="LAP"/>
    <s v="OG-19-2202-4002-00000005"/>
    <s v="Active"/>
    <d v="2018-04-01T00:00:00"/>
    <d v="2019-03-31T00:00:00"/>
    <s v="Fire"/>
    <n v="3"/>
    <s v="Animesh Rawat"/>
    <s v="Ahmedabad"/>
    <s v="Global Client Network (GNB Inward)"/>
    <x v="0"/>
    <n v="15899.07"/>
    <d v="2018-04-01T00:00:00"/>
    <s v="Brokerage"/>
    <s v="Inception"/>
    <m/>
    <d v="2020-01-22T00:00:00"/>
  </r>
  <r>
    <s v="LAP"/>
    <s v="OG-19-2202-4002-00000005"/>
    <s v="Active"/>
    <d v="2018-04-01T00:00:00"/>
    <d v="2019-03-31T00:00:00"/>
    <s v="Fire"/>
    <n v="3"/>
    <s v="Animesh Rawat"/>
    <s v="Ahmedabad"/>
    <s v="Global Client Network (GNB Inward)"/>
    <x v="0"/>
    <n v="3974.77"/>
    <d v="2018-04-01T00:00:00"/>
    <s v="Brokerage"/>
    <s v="Inception"/>
    <m/>
    <d v="2020-01-22T00:00:00"/>
  </r>
  <r>
    <s v="LAP"/>
    <s v="OG-19-2202-4003-00000012"/>
    <s v="Active"/>
    <d v="2018-04-01T00:00:00"/>
    <d v="2019-03-31T00:00:00"/>
    <s v="Fire"/>
    <n v="3"/>
    <s v="Animesh Rawat"/>
    <s v="Ahmedabad"/>
    <s v="Global Client Network (GNB Inward)"/>
    <x v="0"/>
    <n v="6120.48"/>
    <d v="2018-04-01T00:00:00"/>
    <s v="Brokerage"/>
    <s v="Inception"/>
    <m/>
    <d v="2020-01-22T00:00:00"/>
  </r>
  <r>
    <s v="LAP"/>
    <s v="OG-19-2202-4003-00000012"/>
    <s v="Active"/>
    <d v="2018-04-01T00:00:00"/>
    <d v="2019-03-31T00:00:00"/>
    <s v="Fire"/>
    <n v="3"/>
    <s v="Animesh Rawat"/>
    <s v="Ahmedabad"/>
    <s v="Global Client Network (GNB Inward)"/>
    <x v="0"/>
    <n v="1530.12"/>
    <d v="2018-04-01T00:00:00"/>
    <s v="Brokerage"/>
    <s v="Inception"/>
    <m/>
    <d v="2020-01-22T00:00:00"/>
  </r>
  <r>
    <s v="LAP"/>
    <s v="OG-19-2202-4004-00000010"/>
    <s v="Active"/>
    <d v="2018-04-01T00:00:00"/>
    <d v="2019-03-31T00:00:00"/>
    <s v="Fire"/>
    <n v="3"/>
    <s v="Animesh Rawat"/>
    <s v="Ahmedabad"/>
    <s v="Global Client Network (GNB Inward)"/>
    <x v="0"/>
    <n v="32171.200000000001"/>
    <d v="2018-04-01T00:00:00"/>
    <s v="Brokerage"/>
    <s v="Inception"/>
    <m/>
    <d v="2020-01-22T00:00:00"/>
  </r>
  <r>
    <s v="LAP"/>
    <s v="OG-19-2202-4004-00000010"/>
    <s v="Active"/>
    <d v="2018-04-01T00:00:00"/>
    <d v="2019-03-31T00:00:00"/>
    <s v="Fire"/>
    <n v="3"/>
    <s v="Animesh Rawat"/>
    <s v="Ahmedabad"/>
    <s v="Global Client Network (GNB Inward)"/>
    <x v="0"/>
    <n v="8042.8"/>
    <d v="2018-04-01T00:00:00"/>
    <s v="Brokerage"/>
    <s v="Inception"/>
    <m/>
    <d v="2020-01-22T00:00:00"/>
  </r>
  <r>
    <s v="LAP"/>
    <s v="OG-19-2202-4010-00000104"/>
    <s v="Active"/>
    <d v="2018-04-01T00:00:00"/>
    <d v="2019-03-31T00:00:00"/>
    <s v="Miscellaneous"/>
    <n v="3"/>
    <s v="Animesh Rawat"/>
    <s v="Ahmedabad"/>
    <s v="Global Client Network (GNB Inward)"/>
    <x v="0"/>
    <n v="2925"/>
    <d v="2018-04-01T00:00:00"/>
    <s v="Brokerage"/>
    <s v="Inception"/>
    <m/>
    <d v="2020-01-22T00:00:00"/>
  </r>
  <r>
    <s v="LAP"/>
    <s v="OG-19-2202-4010-00000104"/>
    <s v="Active"/>
    <d v="2018-04-01T00:00:00"/>
    <d v="2019-03-31T00:00:00"/>
    <s v="Miscellaneous"/>
    <n v="3"/>
    <s v="Animesh Rawat"/>
    <s v="Ahmedabad"/>
    <s v="Global Client Network (GNB Inward)"/>
    <x v="0"/>
    <n v="731.25"/>
    <d v="2018-04-01T00:00:00"/>
    <s v="Brokerage"/>
    <s v="Inception"/>
    <m/>
    <d v="2020-01-22T00:00:00"/>
  </r>
  <r>
    <s v="LAP"/>
    <s v="OG-19-2202-4010-00000159"/>
    <s v="Active"/>
    <d v="2018-04-01T00:00:00"/>
    <d v="2019-03-31T00:00:00"/>
    <s v="Miscellaneous"/>
    <n v="3"/>
    <s v="Animesh Rawat"/>
    <s v="Ahmedabad"/>
    <s v="Global Client Network (GNB Inward)"/>
    <x v="0"/>
    <n v="627"/>
    <d v="2018-04-01T00:00:00"/>
    <s v="Brokerage"/>
    <s v="Inception"/>
    <m/>
    <d v="2020-01-22T00:00:00"/>
  </r>
  <r>
    <s v="LAP"/>
    <s v="OG-19-2202-4010-00000159"/>
    <s v="Active"/>
    <d v="2018-04-01T00:00:00"/>
    <d v="2019-03-31T00:00:00"/>
    <s v="Miscellaneous"/>
    <n v="3"/>
    <s v="Animesh Rawat"/>
    <s v="Ahmedabad"/>
    <s v="Global Client Network (GNB Inward)"/>
    <x v="0"/>
    <n v="156.75"/>
    <d v="2018-04-01T00:00:00"/>
    <s v="Brokerage"/>
    <s v="Inception"/>
    <m/>
    <d v="2020-01-22T00:00:00"/>
  </r>
  <r>
    <s v="LAP"/>
    <s v="OG-19-2202-4011-00000003"/>
    <s v="Active"/>
    <d v="2018-04-01T00:00:00"/>
    <d v="2019-03-31T00:00:00"/>
    <s v="Miscellaneous"/>
    <n v="3"/>
    <s v="Animesh Rawat"/>
    <s v="Ahmedabad"/>
    <s v="Global Client Network (GNB Inward)"/>
    <x v="0"/>
    <n v="1186"/>
    <d v="2018-04-01T00:00:00"/>
    <s v="Brokerage"/>
    <s v="Inception"/>
    <m/>
    <d v="2020-01-22T00:00:00"/>
  </r>
  <r>
    <s v="LAP"/>
    <s v="OG-19-2202-9931-00000002"/>
    <s v="Active"/>
    <d v="2018-04-01T00:00:00"/>
    <d v="2019-01-03T00:00:00"/>
    <s v="Miscellaneous"/>
    <n v="3"/>
    <s v="Animesh Rawat"/>
    <s v="Ahmedabad"/>
    <s v="Global Client Network (GNB Inward)"/>
    <x v="0"/>
    <n v="465.9"/>
    <d v="2018-04-01T00:00:00"/>
    <s v="Brokerage"/>
    <s v="Inception"/>
    <m/>
    <d v="2020-01-22T00:00:00"/>
  </r>
  <r>
    <s v="LAP"/>
    <s v="OG-19-2202-9931-00000002"/>
    <s v="Active"/>
    <d v="2018-04-01T00:00:00"/>
    <d v="2019-01-03T00:00:00"/>
    <s v="Miscellaneous"/>
    <n v="3"/>
    <s v="Animesh Rawat"/>
    <s v="Ahmedabad"/>
    <s v="Global Client Network (GNB Inward)"/>
    <x v="0"/>
    <n v="116.48"/>
    <d v="2018-04-01T00:00:00"/>
    <s v="Brokerage"/>
    <s v="Inception"/>
    <m/>
    <d v="2020-01-22T00:00:00"/>
  </r>
  <r>
    <s v="LAP"/>
    <s v="OG-19-2202-9931-00000163"/>
    <s v="Active"/>
    <d v="2018-04-01T00:00:00"/>
    <d v="2019-03-31T00:00:00"/>
    <s v="Miscellaneous"/>
    <n v="3"/>
    <s v="Animesh Rawat"/>
    <s v="Ahmedabad"/>
    <s v="Global Client Network (GNB Inward)"/>
    <x v="0"/>
    <n v="3456.13"/>
    <d v="2018-04-01T00:00:00"/>
    <s v="Brokerage"/>
    <s v="Inception"/>
    <m/>
    <d v="2020-01-22T00:00:00"/>
  </r>
  <r>
    <s v="LAP"/>
    <n v="2.1300042180100002E+19"/>
    <s v="Inactive"/>
    <d v="2018-04-01T00:00:00"/>
    <d v="2019-03-31T00:00:00"/>
    <s v="Employee Benefits"/>
    <n v="10"/>
    <s v="Mark"/>
    <s v="Ahmedabad"/>
    <s v="Employee Benefits (EB)"/>
    <x v="0"/>
    <n v="0"/>
    <d v="2018-04-01T00:00:00"/>
    <s v="Brokerage"/>
    <s v="Inception"/>
    <m/>
    <d v="2020-01-22T00:00:00"/>
  </r>
  <r>
    <s v="LAP"/>
    <s v="2200130820 02"/>
    <s v="Active"/>
    <d v="2018-05-09T00:00:00"/>
    <d v="2019-05-08T00:00:00"/>
    <s v="Fire"/>
    <n v="3"/>
    <s v="Animesh Rawat"/>
    <s v="Ahmedabad"/>
    <s v="Global Client Network (GNB Inward)"/>
    <x v="0"/>
    <n v="976.81"/>
    <d v="2018-05-09T00:00:00"/>
    <s v="Brokerage"/>
    <s v="Inception"/>
    <m/>
    <d v="2020-01-22T00:00:00"/>
  </r>
  <r>
    <s v="LAP"/>
    <s v="4016/120415654/02/00"/>
    <s v="Inactive"/>
    <d v="2018-07-14T00:00:00"/>
    <d v="2019-07-13T00:00:00"/>
    <s v="Employee Benefits"/>
    <n v="10"/>
    <s v="Mark"/>
    <s v="Ahmedabad"/>
    <s v="Employee Benefits (EB)"/>
    <x v="0"/>
    <n v="26250"/>
    <d v="2018-07-14T00:00:00"/>
    <s v="Brokerage"/>
    <s v="Inception"/>
    <m/>
    <d v="2020-01-22T00:00:00"/>
  </r>
  <r>
    <s v="LAP"/>
    <s v="4016/120415654/03/00"/>
    <s v="Active"/>
    <d v="2019-07-14T00:00:00"/>
    <d v="2020-07-13T00:00:00"/>
    <s v="Employee Benefits"/>
    <n v="10"/>
    <s v="Mark"/>
    <s v="Ahmedabad"/>
    <s v="Employee Benefits (EB)"/>
    <x v="0"/>
    <n v="22245.75"/>
    <d v="2019-07-14T00:00:00"/>
    <s v="Brokerage"/>
    <s v="Renewal"/>
    <m/>
    <d v="2020-01-22T00:00:00"/>
  </r>
  <r>
    <s v="LAP"/>
    <s v="AG00059046000100"/>
    <s v="Active"/>
    <d v="2019-04-01T00:00:00"/>
    <d v="2020-03-31T00:00:00"/>
    <s v="Employee Benefits"/>
    <n v="10"/>
    <s v="Mark"/>
    <s v="Ahmedabad"/>
    <s v="Employee Benefits (EB)"/>
    <x v="0"/>
    <n v="3346.95"/>
    <d v="2019-04-01T00:00:00"/>
    <s v="Brokerage"/>
    <s v="Renewal"/>
    <m/>
    <d v="2020-01-22T00:00:00"/>
  </r>
  <r>
    <s v="LAP"/>
    <s v="OG-19-2202-3315-00000009"/>
    <s v="Inactive"/>
    <d v="2018-07-23T00:00:00"/>
    <d v="2019-07-20T00:00:00"/>
    <s v="Liability"/>
    <n v="3"/>
    <s v="Animesh Rawat"/>
    <s v="Ahmedabad"/>
    <s v="Global Client Network (GNB Inward)"/>
    <x v="0"/>
    <n v="0"/>
    <d v="2018-07-23T00:00:00"/>
    <s v="Brokerage"/>
    <s v="Inception"/>
    <m/>
    <d v="2020-01-22T00:00:00"/>
  </r>
  <r>
    <s v="LAP"/>
    <s v="OG-20-2202-3315-00000009"/>
    <s v="Active"/>
    <d v="2019-07-23T00:00:00"/>
    <d v="2020-07-20T00:00:00"/>
    <s v="Liability"/>
    <n v="3"/>
    <s v="Animesh Rawat"/>
    <s v="Ahmedabad"/>
    <s v="Global Client Network (GNB Inward)"/>
    <x v="0"/>
    <n v="0"/>
    <d v="2019-07-23T00:00:00"/>
    <s v="Brokerage"/>
    <s v="Renewal"/>
    <m/>
    <d v="2020-01-22T00:00:00"/>
  </r>
  <r>
    <s v="LAP"/>
    <s v="P0019200001/9999/100301"/>
    <s v="Active"/>
    <d v="2019-01-01T00:00:00"/>
    <d v="2019-12-31T00:00:00"/>
    <s v="Liability"/>
    <n v="3"/>
    <s v="Animesh Rawat"/>
    <s v="Ahmedabad"/>
    <s v="Global Client Network (GNB Inward)"/>
    <x v="0"/>
    <n v="19910.88"/>
    <d v="2019-01-01T00:00:00"/>
    <s v="Brokerage"/>
    <s v="Endorsement"/>
    <m/>
    <d v="2020-01-22T00:00:00"/>
  </r>
  <r>
    <s v="LAP"/>
    <s v="P0019200001/9999/100301"/>
    <s v="Active"/>
    <d v="2019-01-01T00:00:00"/>
    <d v="2019-12-31T00:00:00"/>
    <s v="Liability"/>
    <n v="3"/>
    <s v="Animesh Rawat"/>
    <s v="Ahmedabad"/>
    <s v="Global Client Network (GNB Inward)"/>
    <x v="0"/>
    <n v="2139.63"/>
    <d v="2019-01-30T00:00:00"/>
    <s v="Brokerage "/>
    <s v="Endorsement"/>
    <m/>
    <d v="2020-01-22T00:00:00"/>
  </r>
  <r>
    <s v="LAP"/>
    <s v="P0218200001/9999/100262"/>
    <s v="Inactive"/>
    <d v="2018-01-01T00:00:00"/>
    <d v="2018-12-31T00:00:00"/>
    <s v="Liability"/>
    <n v="3"/>
    <s v="Animesh Rawat"/>
    <s v="Ahmedabad"/>
    <s v="Global Client Network (GNB Inward)"/>
    <x v="0"/>
    <n v="20814.38"/>
    <d v="2018-01-01T00:00:00"/>
    <s v="Brokerage"/>
    <s v="Inception"/>
    <m/>
    <d v="2020-01-22T00:00:00"/>
  </r>
  <r>
    <s v="LAP"/>
    <s v="0830018887 01"/>
    <s v="Active"/>
    <d v="2018-03-01T00:00:00"/>
    <d v="2019-02-28T00:00:00"/>
    <s v="Marine"/>
    <n v="3"/>
    <s v="Animesh Rawat"/>
    <s v="Ahmedabad"/>
    <s v="Global Client Network (GNB Inward)"/>
    <x v="0"/>
    <n v="126225"/>
    <d v="2018-03-01T00:00:00"/>
    <s v="Brokerage"/>
    <s v="Inception"/>
    <m/>
    <d v="2020-01-22T00:00:00"/>
  </r>
  <r>
    <s v="LAP"/>
    <s v="0830018888 01"/>
    <s v="Inactive"/>
    <d v="2018-03-01T00:00:00"/>
    <d v="2019-02-28T00:00:00"/>
    <s v="Marine"/>
    <n v="3"/>
    <s v="Animesh Rawat"/>
    <s v="Ahmedabad"/>
    <s v="Global Client Network (GNB Inward)"/>
    <x v="0"/>
    <n v="63112.5"/>
    <d v="2018-03-01T00:00:00"/>
    <s v="Brokerage"/>
    <s v="Inception"/>
    <m/>
    <d v="2020-01-22T00:00:00"/>
  </r>
  <r>
    <s v="LAP"/>
    <s v="OG-19-2202-1018-00000060"/>
    <s v="Active"/>
    <d v="2019-03-01T00:00:00"/>
    <d v="2020-02-29T00:00:00"/>
    <s v="Marine"/>
    <n v="3"/>
    <s v="Animesh Rawat"/>
    <s v="Ahmedabad"/>
    <s v="Global Client Network (GNB Inward)"/>
    <x v="0"/>
    <n v="148500"/>
    <d v="2019-03-01T00:00:00"/>
    <s v="Brokerage"/>
    <s v="Renewal"/>
    <m/>
    <d v="2020-01-22T00:00:00"/>
  </r>
  <r>
    <s v="LAP"/>
    <n v="12031703"/>
    <s v="Active"/>
    <d v="2018-06-30T00:00:00"/>
    <d v="2019-06-29T00:00:00"/>
    <s v="Fire"/>
    <n v="1"/>
    <s v="Vinay"/>
    <s v="Ahmedabad"/>
    <s v="Property / BI"/>
    <x v="0"/>
    <n v="39762.71"/>
    <d v="2018-06-30T00:00:00"/>
    <s v="Brokerage"/>
    <s v="Inception"/>
    <m/>
    <d v="2020-01-22T00:00:00"/>
  </r>
  <r>
    <s v="LAP"/>
    <n v="2.4142025629033999E+18"/>
    <s v="Active"/>
    <d v="2018-12-14T00:00:00"/>
    <d v="2019-12-13T00:00:00"/>
    <s v="Marine"/>
    <n v="2"/>
    <s v="Abhinav Shivam"/>
    <s v="Ahmedabad"/>
    <s v="Marine"/>
    <x v="2"/>
    <n v="28050"/>
    <d v="2018-12-14T00:00:00"/>
    <s v="Brokerage"/>
    <s v="Endorsement"/>
    <m/>
    <d v="2020-01-22T00:00:00"/>
  </r>
  <r>
    <s v="LAP"/>
    <n v="2.4142025629033999E+18"/>
    <s v="Active"/>
    <d v="2018-12-14T00:00:00"/>
    <d v="2019-12-13T00:00:00"/>
    <s v="Marine"/>
    <n v="2"/>
    <s v="Abhinav Shivam"/>
    <s v="Ahmedabad"/>
    <s v="Marine"/>
    <x v="2"/>
    <n v="56100"/>
    <d v="2019-03-08T00:00:00"/>
    <s v="Brokerage "/>
    <s v="Endorsement"/>
    <m/>
    <d v="2020-01-22T00:00:00"/>
  </r>
  <r>
    <s v="LAP"/>
    <n v="2.4142025629033999E+18"/>
    <s v="Active"/>
    <d v="2018-12-14T00:00:00"/>
    <d v="2019-12-13T00:00:00"/>
    <s v="Marine"/>
    <n v="2"/>
    <s v="Abhinav Shivam"/>
    <s v="Ahmedabad"/>
    <s v="Marine"/>
    <x v="2"/>
    <n v="14025"/>
    <d v="2019-10-22T00:00:00"/>
    <s v="Brokerage "/>
    <s v="Endorsement"/>
    <m/>
    <d v="2020-01-22T00:00:00"/>
  </r>
  <r>
    <s v="LAP"/>
    <n v="41040284"/>
    <s v="Inactive"/>
    <d v="2018-04-09T00:00:00"/>
    <d v="2019-04-08T00:00:00"/>
    <s v="Liability"/>
    <n v="11"/>
    <s v="Raju Kumar"/>
    <s v="Ahmedabad"/>
    <s v="Liability"/>
    <x v="0"/>
    <n v="59851.63"/>
    <d v="2018-04-09T00:00:00"/>
    <s v="Brokerage"/>
    <s v="Inception"/>
    <m/>
    <d v="2020-01-22T00:00:00"/>
  </r>
  <r>
    <s v="LAP"/>
    <n v="41046110"/>
    <s v="Active"/>
    <d v="2019-04-09T00:00:00"/>
    <d v="2020-04-08T00:00:00"/>
    <s v="Liability"/>
    <n v="1"/>
    <s v="Vinay"/>
    <s v="Ahmedabad"/>
    <s v="Liability"/>
    <x v="0"/>
    <n v="74250"/>
    <d v="2019-04-09T00:00:00"/>
    <s v="Brokerage"/>
    <s v="Inception"/>
    <m/>
    <d v="2020-01-22T00:00:00"/>
  </r>
  <r>
    <s v="LAP"/>
    <s v="HCL"/>
    <s v="Active"/>
    <d v="2019-04-09T00:00:00"/>
    <d v="2020-04-08T00:00:00"/>
    <s v="Liability"/>
    <n v="11"/>
    <s v="Raju Kumar"/>
    <s v="Ahmedabad"/>
    <s v="Liability"/>
    <x v="0"/>
    <n v="68125"/>
    <d v="2019-04-09T00:00:00"/>
    <s v="Brokerage"/>
    <s v="Renewal"/>
    <m/>
    <d v="2020-01-22T00:00:00"/>
  </r>
  <r>
    <s v="Sanjay Trivedi"/>
    <n v="2.1300036181700002E+19"/>
    <s v="Inactive"/>
    <d v="2018-04-01T00:00:00"/>
    <d v="2019-03-31T00:00:00"/>
    <s v="Liability"/>
    <n v="6"/>
    <s v="Ketan Jain"/>
    <s v="Ahmedabad"/>
    <s v="Liability"/>
    <x v="1"/>
    <n v="117812.5"/>
    <d v="2018-04-01T00:00:00"/>
    <s v="Brokerage"/>
    <s v="Inception"/>
    <m/>
    <d v="2020-01-22T00:00:00"/>
  </r>
  <r>
    <s v="Anita Sethi"/>
    <n v="2.1300036191700001E+19"/>
    <s v="Active"/>
    <d v="2019-04-01T00:00:00"/>
    <d v="2020-03-31T00:00:00"/>
    <s v="Liability"/>
    <n v="6"/>
    <s v="Ketan Jain"/>
    <s v="Ahmedabad"/>
    <s v="Liability"/>
    <x v="0"/>
    <n v="115625"/>
    <d v="2019-04-01T00:00:00"/>
    <s v="Brokerage"/>
    <s v="Renewal"/>
    <m/>
    <d v="2020-01-22T00:00:00"/>
  </r>
  <r>
    <s v="Ashok Chatterjee"/>
    <s v="'2200060187 06"/>
    <s v="Active"/>
    <d v="2019-05-03T00:00:00"/>
    <d v="2020-05-02T00:00:00"/>
    <s v="Fire"/>
    <n v="1"/>
    <s v="Vinay"/>
    <s v="Ahmedabad"/>
    <s v="Liability"/>
    <x v="0"/>
    <n v="10427"/>
    <d v="2019-05-03T00:00:00"/>
    <s v="Brokerage"/>
    <s v="Inception"/>
    <m/>
    <d v="2020-01-22T00:00:00"/>
  </r>
  <r>
    <s v="Rani Agarwal"/>
    <n v="43168456"/>
    <s v="Inactive"/>
    <d v="2018-06-03T00:00:00"/>
    <d v="2019-06-02T00:00:00"/>
    <s v="Liability"/>
    <n v="13"/>
    <s v="Vididt Saha"/>
    <s v="Ahmedabad"/>
    <s v="Liability"/>
    <x v="0"/>
    <n v="2930.9"/>
    <d v="2018-06-03T00:00:00"/>
    <s v="Brokerage"/>
    <s v="Inception"/>
    <m/>
    <d v="2020-01-22T00:00:00"/>
  </r>
  <r>
    <s v="Arjun Rao"/>
    <n v="43191787"/>
    <s v="Active"/>
    <d v="2019-07-03T00:00:00"/>
    <d v="2020-07-02T00:00:00"/>
    <s v="Liability"/>
    <n v="13"/>
    <s v="Vididt Saha"/>
    <s v="Ahmedabad"/>
    <s v="Liability"/>
    <x v="0"/>
    <n v="6213.24"/>
    <d v="2019-07-03T00:00:00"/>
    <s v="Brokerage"/>
    <s v="Renewal"/>
    <m/>
    <d v="2020-01-22T00:00:00"/>
  </r>
  <r>
    <s v="Anil Naik"/>
    <n v="431172859"/>
    <s v="Inactive"/>
    <d v="2018-09-22T00:00:00"/>
    <d v="2019-09-21T00:00:00"/>
    <s v="Miscellaneous"/>
    <n v="3"/>
    <s v="Animesh Rawat"/>
    <s v="Ahmedabad"/>
    <s v="Global Client Network (GNB Inward)"/>
    <x v="0"/>
    <n v="1772.75"/>
    <d v="2019-09-22T00:00:00"/>
    <s v="Brokerage"/>
    <s v="Inception"/>
    <m/>
    <d v="2020-01-22T00:00:00"/>
  </r>
  <r>
    <s v="Simran Trivedi"/>
    <n v="43196279"/>
    <s v="Active"/>
    <d v="2019-09-22T00:00:00"/>
    <d v="2020-09-21T00:00:00"/>
    <s v="Miscellaneous"/>
    <n v="3"/>
    <s v="Animesh Rawat"/>
    <s v="Ahmedabad"/>
    <s v="Global Client Network (GNB Inward)"/>
    <x v="0"/>
    <n v="2970"/>
    <d v="2019-09-22T00:00:00"/>
    <s v="Brokerage"/>
    <s v="Renewal"/>
    <m/>
    <d v="2020-01-22T00:00:00"/>
  </r>
  <r>
    <s v="Dhruv Chopra"/>
    <s v="OG-19-2202-1005-00000153"/>
    <s v="Inactive"/>
    <d v="2018-09-21T00:00:00"/>
    <d v="2019-09-20T00:00:00"/>
    <s v="Marine"/>
    <n v="3"/>
    <s v="Animesh Rawat"/>
    <s v="Ahmedabad"/>
    <s v="Global Client Network (GNB Inward)"/>
    <x v="0"/>
    <n v="5610"/>
    <d v="2019-09-21T00:00:00"/>
    <s v="Brokerage"/>
    <s v="Endorsement"/>
    <m/>
    <d v="2020-01-22T00:00:00"/>
  </r>
  <r>
    <s v="Jaya Chopra"/>
    <s v="OG-19-2202-1005-00000153"/>
    <s v="Inactive"/>
    <d v="2018-09-21T00:00:00"/>
    <d v="2019-09-20T00:00:00"/>
    <s v="Marine"/>
    <n v="3"/>
    <s v="Animesh Rawat"/>
    <s v="Ahmedabad"/>
    <s v="Global Client Network (GNB Inward)"/>
    <x v="0"/>
    <n v="1980"/>
    <d v="2019-06-14T00:00:00"/>
    <s v="Brokerage "/>
    <s v="Endorsement"/>
    <m/>
    <d v="2020-01-22T00:00:00"/>
  </r>
  <r>
    <s v="Kiran Goyal"/>
    <s v="OG-19-2202-4097-00000073"/>
    <s v="Inactive"/>
    <d v="2018-09-21T00:00:00"/>
    <d v="2019-09-20T00:00:00"/>
    <s v="Miscellaneous"/>
    <n v="3"/>
    <s v="Animesh Rawat"/>
    <s v="Ahmedabad"/>
    <s v="Global Client Network (GNB Inward)"/>
    <x v="0"/>
    <n v="3861.25"/>
    <d v="2018-09-21T00:00:00"/>
    <s v="Brokerage"/>
    <s v="Inception"/>
    <m/>
    <d v="2020-01-22T00:00:00"/>
  </r>
  <r>
    <s v="Pravin Sengupta"/>
    <s v="OG-19-2202-4097-00000077"/>
    <s v="Inactive"/>
    <d v="2018-09-21T00:00:00"/>
    <d v="2019-09-20T00:00:00"/>
    <s v="Miscellaneous"/>
    <n v="3"/>
    <s v="Animesh Rawat"/>
    <s v="Ahmedabad"/>
    <s v="Global Client Network (GNB Inward)"/>
    <x v="0"/>
    <n v="13036.5"/>
    <d v="2018-09-21T00:00:00"/>
    <s v="Brokerage"/>
    <s v="Inception"/>
    <m/>
    <d v="2020-01-22T00:00:00"/>
  </r>
  <r>
    <s v="Snehal Das"/>
    <s v="OG-19-2202-4097-00000079"/>
    <s v="Inactive"/>
    <d v="2018-09-21T00:00:00"/>
    <d v="2019-09-20T00:00:00"/>
    <s v="Miscellaneous"/>
    <n v="3"/>
    <s v="Animesh Rawat"/>
    <s v="Ahmedabad"/>
    <s v="Global Client Network (GNB Inward)"/>
    <x v="0"/>
    <n v="8194.25"/>
    <d v="2018-09-21T00:00:00"/>
    <s v="Brokerage"/>
    <s v="Inception"/>
    <m/>
    <d v="2020-01-22T00:00:00"/>
  </r>
  <r>
    <s v="Rajesh Malhotra"/>
    <s v="OG-20-2202-1005-00000171-2019"/>
    <s v="Active"/>
    <d v="2019-09-21T00:00:00"/>
    <d v="2020-09-20T00:00:00"/>
    <s v="Marine"/>
    <n v="3"/>
    <s v="Animesh Rawat"/>
    <s v="Ahmedabad"/>
    <s v="Global Client Network (GNB Inward)"/>
    <x v="0"/>
    <n v="8580"/>
    <d v="2019-09-21T00:00:00"/>
    <s v="Brokerage"/>
    <s v="Renewal"/>
    <m/>
    <d v="2020-01-22T00:00:00"/>
  </r>
  <r>
    <s v="Archana Bhatia"/>
    <s v="OG-20-2202-4097-00000170"/>
    <s v="Active"/>
    <d v="2019-09-21T00:00:00"/>
    <d v="2020-09-20T00:00:00"/>
    <s v="Miscellaneous"/>
    <n v="3"/>
    <s v="Animesh Rawat"/>
    <s v="Ahmedabad"/>
    <s v="Global Client Network (GNB Inward)"/>
    <x v="0"/>
    <n v="4579"/>
    <d v="2019-09-21T00:00:00"/>
    <s v="Brokerage"/>
    <s v="Renewal"/>
    <m/>
    <d v="2020-01-22T00:00:00"/>
  </r>
  <r>
    <s v="Ashok Reddy"/>
    <s v="OG-20-2202-4097-00000171"/>
    <s v="Active"/>
    <d v="2019-09-21T00:00:00"/>
    <d v="2020-09-20T00:00:00"/>
    <s v="Miscellaneous"/>
    <n v="3"/>
    <s v="Animesh Rawat"/>
    <s v="Ahmedabad"/>
    <s v="Global Client Network (GNB Inward)"/>
    <x v="0"/>
    <n v="3330"/>
    <d v="2019-09-21T00:00:00"/>
    <s v="Brokerage"/>
    <s v="Renewal"/>
    <m/>
    <d v="2020-01-22T00:00:00"/>
  </r>
  <r>
    <s v="Madhuri Bhatia"/>
    <s v="OG-20-2202-4097-00000201"/>
    <s v="Active"/>
    <d v="2019-09-21T00:00:00"/>
    <d v="2020-09-20T00:00:00"/>
    <s v="Miscellaneous"/>
    <n v="3"/>
    <s v="Animesh Rawat"/>
    <s v="Ahmedabad"/>
    <s v="Global Client Network (GNB Inward)"/>
    <x v="0"/>
    <n v="8625.3799999999992"/>
    <d v="2019-09-21T00:00:00"/>
    <s v="Brokerage"/>
    <s v="Renewal"/>
    <m/>
    <d v="2020-01-22T00:00:00"/>
  </r>
  <r>
    <s v="Pranav Mishra"/>
    <s v="'2411202761687800000"/>
    <s v="Active"/>
    <d v="2019-04-19T00:00:00"/>
    <d v="2020-04-18T00:00:00"/>
    <s v="Marine"/>
    <n v="1"/>
    <s v="Vinay"/>
    <s v="Ahmedabad"/>
    <s v="Marine"/>
    <x v="2"/>
    <n v="150.65"/>
    <d v="2019-04-19T00:00:00"/>
    <s v="Brokerage"/>
    <s v="Inception"/>
    <m/>
    <d v="2020-01-22T00:00:00"/>
  </r>
  <r>
    <m/>
    <n v="304003070"/>
    <s v="Active"/>
    <d v="2018-11-29T00:00:00"/>
    <d v="2019-11-28T00:00:00"/>
    <s v="Liability"/>
    <n v="6"/>
    <s v="Ketan Jain"/>
    <s v="Ahmedabad"/>
    <s v="Liability"/>
    <x v="1"/>
    <n v="115173.38"/>
    <d v="2018-11-29T00:00:00"/>
    <s v="Brokerage"/>
    <s v="Inception"/>
    <m/>
    <d v="2020-01-22T00:00:00"/>
  </r>
  <r>
    <s v="Geeta Gupta"/>
    <s v="ST20002720000101"/>
    <s v="Active"/>
    <d v="2019-01-06T00:00:00"/>
    <d v="2020-01-05T00:00:00"/>
    <s v="Marine"/>
    <n v="11"/>
    <s v="Raju Kumar"/>
    <s v="Ahmedabad"/>
    <s v="Marine"/>
    <x v="2"/>
    <n v="825"/>
    <d v="2019-01-06T00:00:00"/>
    <s v="Brokerage"/>
    <s v="Inception"/>
    <m/>
    <d v="2020-01-22T00:00:00"/>
  </r>
  <r>
    <s v="Sudhir Roy"/>
    <s v="'ST20003045000100"/>
    <s v="Active"/>
    <d v="2018-06-13T00:00:00"/>
    <d v="2019-06-12T00:00:00"/>
    <s v="Marine"/>
    <n v="11"/>
    <s v="Raju Kumar"/>
    <s v="Ahmedabad"/>
    <s v="Marine"/>
    <x v="0"/>
    <n v="20625"/>
    <d v="2018-06-13T00:00:00"/>
    <s v="Brokerage"/>
    <s v="Inception"/>
    <m/>
    <d v="2020-01-22T00:00:00"/>
  </r>
  <r>
    <s v="Rani Kaul"/>
    <s v="ST20003618000100"/>
    <s v="Active"/>
    <d v="2019-04-08T00:00:00"/>
    <d v="2020-04-07T00:00:00"/>
    <s v="Marine"/>
    <n v="11"/>
    <s v="Raju Kumar"/>
    <s v="Ahmedabad"/>
    <s v="Marine"/>
    <x v="2"/>
    <n v="2598.75"/>
    <d v="2019-04-08T00:00:00"/>
    <s v="Brokerage"/>
    <s v="Inception"/>
    <m/>
    <d v="2020-01-22T00:00:00"/>
  </r>
  <r>
    <s v="Kavita Sharma"/>
    <s v="ST20003619000100"/>
    <s v="Active"/>
    <d v="2019-04-08T00:00:00"/>
    <d v="2020-04-07T00:00:00"/>
    <s v="Marine"/>
    <n v="11"/>
    <s v="Raju Kumar"/>
    <s v="Ahmedabad"/>
    <s v="Marine"/>
    <x v="2"/>
    <n v="693"/>
    <d v="2019-04-08T00:00:00"/>
    <s v="Brokerage"/>
    <s v="Inception"/>
    <m/>
    <d v="2020-01-22T00:00:00"/>
  </r>
  <r>
    <s v="Shikha Sethi"/>
    <s v="STS1086243000100"/>
    <s v="Active"/>
    <d v="2019-04-22T00:00:00"/>
    <d v="2020-04-21T00:00:00"/>
    <s v="Marine"/>
    <n v="11"/>
    <s v="Raju Kumar"/>
    <s v="Ahmedabad"/>
    <s v="Marine"/>
    <x v="2"/>
    <n v="357.06"/>
    <d v="2019-04-22T00:00:00"/>
    <s v="Brokerage"/>
    <s v="Inception"/>
    <m/>
    <d v="2020-01-22T00:00:00"/>
  </r>
  <r>
    <s v="Amit Bhargava"/>
    <n v="1.31000501801E+19"/>
    <s v="Active"/>
    <d v="2019-03-07T00:00:00"/>
    <d v="2020-03-06T00:00:00"/>
    <s v="Miscellaneous"/>
    <n v="11"/>
    <s v="Raju Kumar"/>
    <s v="Ahmedabad"/>
    <s v="Trade Credit &amp;amp; Political Risk"/>
    <x v="0"/>
    <n v="41625"/>
    <d v="2019-07-06T00:00:00"/>
    <s v="Brokerage"/>
    <s v="Inception"/>
    <m/>
    <d v="2020-01-22T00:00:00"/>
  </r>
  <r>
    <s v="Alka Goel"/>
    <n v="1.31000501801E+19"/>
    <s v="Active"/>
    <d v="2019-03-07T00:00:00"/>
    <d v="2020-03-06T00:00:00"/>
    <s v="Miscellaneous"/>
    <n v="11"/>
    <s v="Raju Kumar"/>
    <s v="Ahmedabad"/>
    <s v="Trade Credit &amp;amp; Political Risk"/>
    <x v="0"/>
    <n v="41625"/>
    <d v="2019-11-04T00:00:00"/>
    <s v="Brokerage"/>
    <s v="Inception"/>
    <m/>
    <d v="2020-01-22T00:00:00"/>
  </r>
  <r>
    <s v="Harish Sharma"/>
    <n v="1.31000501801E+19"/>
    <s v="Active"/>
    <d v="2019-03-07T00:00:00"/>
    <d v="2020-03-06T00:00:00"/>
    <s v="Miscellaneous"/>
    <n v="11"/>
    <s v="Raju Kumar"/>
    <s v="Ahmedabad"/>
    <s v="Trade Credit &amp;amp; Political Risk"/>
    <x v="0"/>
    <n v="124875"/>
    <d v="2019-03-07T00:00:00"/>
    <s v="Brokerage"/>
    <s v="Inception"/>
    <m/>
    <d v="2020-01-22T00:00:00"/>
  </r>
  <r>
    <s v="Gaurav Goel"/>
    <n v="41048751"/>
    <s v="Active"/>
    <d v="2019-08-28T00:00:00"/>
    <d v="2020-08-27T00:00:00"/>
    <s v="Liability"/>
    <n v="1"/>
    <s v="Vinay"/>
    <s v="Ahmedabad"/>
    <s v="Liability"/>
    <x v="0"/>
    <n v="42900"/>
    <d v="2018-08-28T00:00:00"/>
    <s v="Brokerage"/>
    <s v="Inception"/>
    <m/>
    <d v="2020-01-22T00:00:00"/>
  </r>
  <r>
    <s v="Ravi Naik"/>
    <n v="41048762"/>
    <s v="Active"/>
    <d v="2019-08-28T00:00:00"/>
    <d v="2020-08-27T00:00:00"/>
    <s v="Liability"/>
    <n v="1"/>
    <s v="Vinay"/>
    <s v="Ahmedabad"/>
    <s v="Liability"/>
    <x v="0"/>
    <n v="52800"/>
    <d v="2019-08-28T00:00:00"/>
    <s v="Brokerage"/>
    <s v="Inception"/>
    <m/>
    <d v="2020-01-22T00:00:00"/>
  </r>
  <r>
    <s v="Kamlesh Prasad"/>
    <n v="41048763"/>
    <s v="Active"/>
    <d v="2019-08-28T00:00:00"/>
    <d v="2020-08-27T00:00:00"/>
    <s v="Liability"/>
    <n v="1"/>
    <s v="Vinay"/>
    <s v="Ahmedabad"/>
    <s v="Liability"/>
    <x v="0"/>
    <n v="44130.41"/>
    <d v="2019-08-28T00:00:00"/>
    <s v="Brokerage"/>
    <s v="Inception"/>
    <m/>
    <d v="2020-01-22T00:00:00"/>
  </r>
  <r>
    <s v="Nikhil Verma"/>
    <s v="100200080123/01/00"/>
    <s v="Active"/>
    <d v="2019-01-04T00:00:00"/>
    <d v="2020-01-03T00:00:00"/>
    <s v="Employee Benefits"/>
    <n v="10"/>
    <s v="Mark"/>
    <s v="Ahmedabad"/>
    <s v="Employee Benefits (EB)"/>
    <x v="0"/>
    <n v="156000"/>
    <d v="2019-01-04T00:00:00"/>
    <s v="Brokerage"/>
    <s v="Endorsement"/>
    <m/>
    <d v="2020-01-22T00:00:00"/>
  </r>
  <r>
    <s v="Vaishali Desai"/>
    <s v="100200080123/01/00"/>
    <s v="Active"/>
    <d v="2019-01-04T00:00:00"/>
    <d v="2020-01-03T00:00:00"/>
    <s v="Employee Benefits"/>
    <n v="10"/>
    <s v="Mark"/>
    <s v="Ahmedabad"/>
    <s v="Employee Benefits (EB)"/>
    <x v="0"/>
    <n v="5253.23"/>
    <d v="2019-02-18T00:00:00"/>
    <s v="Brokerage "/>
    <s v="Endorsement"/>
    <m/>
    <d v="2020-01-22T00:00:00"/>
  </r>
  <r>
    <s v="Atul Naik"/>
    <s v="100200080123/01/00"/>
    <s v="Active"/>
    <d v="2019-01-04T00:00:00"/>
    <d v="2020-01-03T00:00:00"/>
    <s v="Employee Benefits"/>
    <n v="10"/>
    <s v="Mark"/>
    <s v="Ahmedabad"/>
    <s v="Employee Benefits (EB)"/>
    <x v="0"/>
    <n v="6769.65"/>
    <d v="2019-06-15T00:00:00"/>
    <s v="Brokerage "/>
    <s v="Endorsement"/>
    <m/>
    <d v="2020-01-22T00:00:00"/>
  </r>
  <r>
    <s v="Meena Bhargava"/>
    <s v="100200080123/01/00"/>
    <s v="Active"/>
    <d v="2019-01-04T00:00:00"/>
    <d v="2020-01-03T00:00:00"/>
    <s v="Employee Benefits"/>
    <n v="10"/>
    <s v="Mark"/>
    <s v="Ahmedabad"/>
    <s v="Employee Benefits (EB)"/>
    <x v="0"/>
    <n v="8961.98"/>
    <d v="2019-06-25T00:00:00"/>
    <s v="Brokerage "/>
    <s v="Endorsement"/>
    <m/>
    <d v="2020-01-22T00:00:00"/>
  </r>
  <r>
    <s v="Mona Chopra"/>
    <s v="10020080123/0000"/>
    <s v="Inactive"/>
    <d v="2018-01-02T00:00:00"/>
    <d v="2019-01-01T00:00:00"/>
    <s v="Employee Benefits"/>
    <n v="10"/>
    <s v="Mark"/>
    <s v="Ahmedabad"/>
    <s v="Employee Benefits (EB)"/>
    <x v="0"/>
    <n v="64155.3"/>
    <d v="2018-01-02T00:00:00"/>
    <s v="Brokerage"/>
    <s v="Lapse"/>
    <s v="OTHR â€“ Other"/>
    <d v="2020-01-22T00:00:00"/>
  </r>
  <r>
    <s v="Mohit Tiwari"/>
    <s v="LPGPA0000000200"/>
    <s v="Inactive"/>
    <d v="2018-01-02T00:00:00"/>
    <d v="2019-01-01T00:00:00"/>
    <s v="Employee Benefits"/>
    <n v="10"/>
    <s v="Mark"/>
    <s v="Ahmedabad"/>
    <s v="Employee Benefits (EB)"/>
    <x v="0"/>
    <n v="5404.95"/>
    <d v="2018-01-02T00:00:00"/>
    <s v="Brokerage"/>
    <s v="Lapse"/>
    <s v="OTHR â€“ Other"/>
    <d v="2020-01-22T00:00:00"/>
  </r>
  <r>
    <s v="Tina Dutta"/>
    <s v="LPGPA0000000200/01"/>
    <s v="Active"/>
    <d v="2019-01-04T00:00:00"/>
    <d v="2020-01-03T00:00:00"/>
    <s v="Employee Benefits"/>
    <n v="10"/>
    <s v="Mark"/>
    <s v="Ahmedabad"/>
    <s v="Employee Benefits (EB)"/>
    <x v="0"/>
    <n v="5550"/>
    <d v="2019-01-04T00:00:00"/>
    <s v="Brokerage"/>
    <s v="Inception"/>
    <m/>
    <d v="2020-01-22T00:00:00"/>
  </r>
  <r>
    <s v="Hemant Das"/>
    <s v="4025/136366502/02/000"/>
    <s v="Active"/>
    <d v="2019-09-08T00:00:00"/>
    <d v="2020-09-07T00:00:00"/>
    <s v="Liability"/>
    <n v="13"/>
    <s v="Vididt Saha"/>
    <s v="Ahmedabad"/>
    <s v="Liability"/>
    <x v="0"/>
    <n v="18750"/>
    <d v="2019-09-08T00:00:00"/>
    <s v="Brokerage"/>
    <s v="Inception"/>
    <m/>
    <d v="2020-01-22T00:00:00"/>
  </r>
  <r>
    <s v="Sanjana Bhargava"/>
    <n v="41045707"/>
    <s v="Active"/>
    <d v="2019-04-01T00:00:00"/>
    <d v="2020-03-31T00:00:00"/>
    <s v="Liability"/>
    <n v="13"/>
    <s v="Vididt Saha"/>
    <s v="Ahmedabad"/>
    <s v="Liability"/>
    <x v="2"/>
    <n v="74250"/>
    <d v="2019-04-01T00:00:00"/>
    <s v="Brokerage"/>
    <s v="Inception"/>
    <m/>
    <d v="2020-01-22T00:00:00"/>
  </r>
  <r>
    <s v="Kamlesh Trivedi"/>
    <n v="3000001017"/>
    <s v="Active"/>
    <d v="2018-04-01T00:00:00"/>
    <d v="2019-03-31T00:00:00"/>
    <s v="Liability"/>
    <n v="12"/>
    <s v="Shivani Sharma"/>
    <s v="Ahmedabad"/>
    <s v="Global Client Network (GNB Inward)"/>
    <x v="0"/>
    <n v="48652.25"/>
    <d v="2018-04-01T00:00:00"/>
    <s v="Brokerage"/>
    <s v="Inception"/>
    <m/>
    <d v="2020-01-22T00:00:00"/>
  </r>
  <r>
    <s v="Nikita Tiwari"/>
    <n v="3.1142029652485002E+18"/>
    <s v="Active"/>
    <d v="2019-08-26T00:00:00"/>
    <d v="2020-08-25T00:00:00"/>
    <s v="Miscellaneous"/>
    <n v="3"/>
    <s v="Animesh Rawat"/>
    <s v="Ahmedabad"/>
    <s v="Global Client Network (GNB Inward)"/>
    <x v="2"/>
    <n v="1501.88"/>
    <d v="2019-08-26T00:00:00"/>
    <s v="Brokerage"/>
    <s v="Inception"/>
    <m/>
    <d v="2020-01-22T00:00:00"/>
  </r>
  <r>
    <s v="Kapil Kapoor"/>
    <s v="OG-19-2202-1018-00000054"/>
    <s v="Active"/>
    <d v="2019-01-01T00:00:00"/>
    <d v="2019-12-31T00:00:00"/>
    <s v="Marine"/>
    <n v="3"/>
    <s v="Animesh Rawat"/>
    <s v="Ahmedabad"/>
    <s v="Global Client Network (GNB Inward)"/>
    <x v="2"/>
    <n v="21157.34"/>
    <d v="2019-01-01T00:00:00"/>
    <s v="Brokerage"/>
    <s v="Inception"/>
    <m/>
    <d v="2020-01-22T00:00:00"/>
  </r>
  <r>
    <s v="Harish Rana"/>
    <s v="OG-19-2202-3383-00000010"/>
    <s v="Active"/>
    <d v="2019-01-01T00:00:00"/>
    <d v="2019-12-31T00:00:00"/>
    <s v="Liability"/>
    <n v="3"/>
    <s v="Animesh Rawat"/>
    <s v="Ahmedabad"/>
    <s v="Global Client Network (GNB Inward)"/>
    <x v="2"/>
    <n v="12019.2"/>
    <d v="2019-01-01T00:00:00"/>
    <s v="Brokerage"/>
    <s v="Inception"/>
    <m/>
    <d v="2020-01-22T00:00:00"/>
  </r>
  <r>
    <s v="Nikhil Pandit"/>
    <s v="OG-19-2201-4001-00001050"/>
    <s v="Active"/>
    <d v="2018-08-22T00:00:00"/>
    <d v="2019-08-21T00:00:00"/>
    <s v="Fire"/>
    <n v="3"/>
    <s v="Animesh Rawat"/>
    <s v="Ahmedabad"/>
    <s v="Global Client Network (GNB Inward)"/>
    <x v="0"/>
    <n v="7324.12"/>
    <d v="2018-08-22T00:00:00"/>
    <s v="Brokerage"/>
    <s v="Inception"/>
    <m/>
    <d v="2020-01-22T00:00:00"/>
  </r>
  <r>
    <s v="Vivek Rana"/>
    <s v="OG-19-2201-4001-00000973"/>
    <s v="Active"/>
    <d v="2018-08-22T00:00:00"/>
    <d v="2019-08-21T00:00:00"/>
    <s v="Fire"/>
    <n v="3"/>
    <s v="Animesh Rawat"/>
    <s v="Ahmedabad"/>
    <s v="Global Client Network (GNB Inward)"/>
    <x v="0"/>
    <n v="19316.669999999998"/>
    <d v="2018-08-22T00:00:00"/>
    <s v="Brokerage"/>
    <s v="Inception"/>
    <m/>
    <d v="2020-01-22T00:00:00"/>
  </r>
  <r>
    <s v="Hemant Nair"/>
    <n v="505373"/>
    <s v="Inactive"/>
    <d v="2018-02-26T00:00:00"/>
    <d v="2019-02-25T00:00:00"/>
    <s v="Employee Benefits"/>
    <n v="10"/>
    <s v="Mark"/>
    <s v="Ahmedabad"/>
    <s v="Employee Benefits (EB)"/>
    <x v="0"/>
    <n v="23115.200000000001"/>
    <d v="2018-02-26T00:00:00"/>
    <s v="Brokerage"/>
    <s v="Inception"/>
    <m/>
    <d v="2020-01-22T00:00:00"/>
  </r>
  <r>
    <s v="Veena Bhargava"/>
    <s v="505373-01"/>
    <s v="Active"/>
    <d v="2019-02-26T00:00:00"/>
    <d v="2020-02-25T00:00:00"/>
    <s v="Employee Benefits"/>
    <n v="10"/>
    <s v="Mark"/>
    <s v="Ahmedabad"/>
    <s v="Employee Benefits (EB)"/>
    <x v="0"/>
    <n v="25336.44"/>
    <d v="2019-02-26T00:00:00"/>
    <s v="Brokerage"/>
    <s v="Renewal"/>
    <m/>
    <d v="2020-01-22T00:00:00"/>
  </r>
  <r>
    <s v="Shivam Shah"/>
    <n v="51995029"/>
    <s v="Inactive"/>
    <d v="2018-02-28T00:00:00"/>
    <d v="2019-02-27T00:00:00"/>
    <s v="Employee Benefits"/>
    <n v="10"/>
    <s v="Mark"/>
    <s v="Ahmedabad"/>
    <s v="Employee Benefits (EB)"/>
    <x v="0"/>
    <n v="12699.7"/>
    <d v="2018-02-28T00:00:00"/>
    <s v="Brokerage"/>
    <s v="Endorsement"/>
    <m/>
    <d v="2020-01-22T00:00:00"/>
  </r>
  <r>
    <s v="Bhavna Bhandari"/>
    <n v="51995029"/>
    <s v="Inactive"/>
    <d v="2018-02-28T00:00:00"/>
    <d v="2019-02-27T00:00:00"/>
    <s v="Employee Benefits"/>
    <n v="10"/>
    <s v="Mark"/>
    <s v="Ahmedabad"/>
    <s v="Employee Benefits (EB)"/>
    <x v="0"/>
    <m/>
    <d v="2018-04-16T00:00:00"/>
    <s v="Brokerage "/>
    <s v="Endorsement"/>
    <m/>
    <d v="2020-01-22T00:00:00"/>
  </r>
  <r>
    <s v="Tarun Shah"/>
    <n v="52916488"/>
    <s v="Inactive"/>
    <d v="2018-02-28T00:00:00"/>
    <d v="2019-02-27T00:00:00"/>
    <s v="Employee Benefits"/>
    <n v="10"/>
    <s v="Mark"/>
    <s v="Ahmedabad"/>
    <s v="Employee Benefits (EB)"/>
    <x v="0"/>
    <n v="177405.38"/>
    <d v="2018-02-28T00:00:00"/>
    <s v="Brokerage"/>
    <s v="Endorsement"/>
    <m/>
    <d v="2020-01-22T00:00:00"/>
  </r>
  <r>
    <s v="Hemant Chauhan"/>
    <n v="52916488"/>
    <s v="Inactive"/>
    <d v="2018-02-28T00:00:00"/>
    <d v="2019-02-27T00:00:00"/>
    <s v="Employee Benefits"/>
    <n v="10"/>
    <s v="Mark"/>
    <s v="Ahmedabad"/>
    <s v="Employee Benefits (EB)"/>
    <x v="0"/>
    <m/>
    <d v="2018-07-18T00:00:00"/>
    <s v="Brokerage "/>
    <s v="Endorsement"/>
    <m/>
    <d v="2020-01-22T00:00:00"/>
  </r>
  <r>
    <s v="Geeta Verma"/>
    <n v="52916488"/>
    <s v="Inactive"/>
    <d v="2018-02-28T00:00:00"/>
    <d v="2019-02-27T00:00:00"/>
    <s v="Employee Benefits"/>
    <n v="10"/>
    <s v="Mark"/>
    <s v="Ahmedabad"/>
    <s v="Employee Benefits (EB)"/>
    <x v="0"/>
    <m/>
    <d v="2018-09-05T00:00:00"/>
    <s v="Brokerage "/>
    <s v="Endorsement"/>
    <m/>
    <d v="2020-01-22T00:00:00"/>
  </r>
  <r>
    <s v="Ashok Patel"/>
    <n v="52916488"/>
    <s v="Inactive"/>
    <d v="2018-02-28T00:00:00"/>
    <d v="2019-02-27T00:00:00"/>
    <s v="Employee Benefits"/>
    <n v="10"/>
    <s v="Mark"/>
    <s v="Ahmedabad"/>
    <s v="Employee Benefits (EB)"/>
    <x v="0"/>
    <m/>
    <d v="2018-04-10T00:00:00"/>
    <s v="Brokerage "/>
    <s v="Endorsement"/>
    <m/>
    <d v="2020-01-22T00:00:00"/>
  </r>
  <r>
    <s v="Gayatri Reddy"/>
    <n v="52971603"/>
    <s v="Inactive"/>
    <d v="2018-06-12T00:00:00"/>
    <d v="2019-06-11T00:00:00"/>
    <s v="Employee Benefits"/>
    <n v="10"/>
    <s v="Mark"/>
    <s v="Ahmedabad"/>
    <s v="Employee Benefits (EB)"/>
    <x v="2"/>
    <n v="63872.4"/>
    <d v="2018-06-12T00:00:00"/>
    <s v="Brokerage"/>
    <s v="Lapse"/>
    <s v="OTHR â€“ Other"/>
    <d v="2020-01-22T00:00:00"/>
  </r>
  <r>
    <s v="Snehal Patel"/>
    <n v="52971603"/>
    <s v="Inactive"/>
    <d v="2018-06-12T00:00:00"/>
    <d v="2019-06-11T00:00:00"/>
    <s v="Employee Benefits"/>
    <n v="10"/>
    <s v="Mark"/>
    <s v="Ahmedabad"/>
    <s v="Employee Benefits (EB)"/>
    <x v="2"/>
    <m/>
    <d v="2018-08-06T00:00:00"/>
    <s v="Brokerage "/>
    <s v="Lapse"/>
    <m/>
    <d v="2020-01-22T00:00:00"/>
  </r>
  <r>
    <s v="Vivek Yadav"/>
    <n v="54445288"/>
    <s v="Active"/>
    <d v="2019-02-28T00:00:00"/>
    <d v="2020-02-27T00:00:00"/>
    <s v="Employee Benefits"/>
    <n v="10"/>
    <s v="Mark"/>
    <s v="Ahmedabad"/>
    <s v="Employee Benefits (EB)"/>
    <x v="0"/>
    <n v="11111.4"/>
    <d v="2019-02-28T00:00:00"/>
    <s v="Brokerage"/>
    <s v="Renewal"/>
    <m/>
    <d v="2020-01-22T00:00:00"/>
  </r>
  <r>
    <s v="Kiran Saxena"/>
    <s v="H0067187"/>
    <s v="Active"/>
    <d v="2019-02-28T00:00:00"/>
    <d v="2020-02-27T00:00:00"/>
    <s v="Employee Benefits"/>
    <n v="10"/>
    <s v="Mark"/>
    <s v="Ahmedabad"/>
    <s v="Employee Benefits (EB)"/>
    <x v="0"/>
    <n v="329250"/>
    <d v="2019-02-28T00:00:00"/>
    <s v="Brokerage"/>
    <s v="Endorsement"/>
    <m/>
    <d v="2020-01-22T00:00:00"/>
  </r>
  <r>
    <s v="Uday Reddy"/>
    <s v="H0067187"/>
    <s v="Active"/>
    <d v="2019-02-28T00:00:00"/>
    <d v="2020-02-27T00:00:00"/>
    <s v="Employee Benefits"/>
    <n v="10"/>
    <s v="Mark"/>
    <s v="Ahmedabad"/>
    <s v="Employee Benefits (EB)"/>
    <x v="0"/>
    <n v="10772.33"/>
    <d v="2019-03-14T00:00:00"/>
    <s v="Brokerage "/>
    <s v="Endorsement"/>
    <m/>
    <d v="2020-01-22T00:00:00"/>
  </r>
  <r>
    <s v="Anita Pandit"/>
    <s v="H0067187"/>
    <s v="Active"/>
    <d v="2019-02-28T00:00:00"/>
    <d v="2020-02-27T00:00:00"/>
    <s v="Employee Benefits"/>
    <n v="10"/>
    <s v="Mark"/>
    <s v="Ahmedabad"/>
    <s v="Employee Benefits (EB)"/>
    <x v="0"/>
    <n v="9283.0499999999993"/>
    <d v="2019-04-18T00:00:00"/>
    <s v="Brokerage "/>
    <s v="Endorsement"/>
    <m/>
    <d v="2020-01-22T00:00:00"/>
  </r>
  <r>
    <s v="Hina Malhotra"/>
    <s v="H0067187"/>
    <s v="Active"/>
    <d v="2019-02-28T00:00:00"/>
    <d v="2020-02-27T00:00:00"/>
    <s v="Employee Benefits"/>
    <n v="10"/>
    <s v="Mark"/>
    <s v="Ahmedabad"/>
    <s v="Employee Benefits (EB)"/>
    <x v="0"/>
    <n v="6903.45"/>
    <d v="2019-05-30T00:00:00"/>
    <s v="Brokerage "/>
    <s v="Endorsement"/>
    <m/>
    <d v="2020-01-22T00:00:00"/>
  </r>
  <r>
    <s v="Alka Patel"/>
    <s v="H0067187"/>
    <s v="Active"/>
    <d v="2019-02-28T00:00:00"/>
    <d v="2020-02-27T00:00:00"/>
    <s v="Employee Benefits"/>
    <n v="10"/>
    <s v="Mark"/>
    <s v="Ahmedabad"/>
    <s v="Employee Benefits (EB)"/>
    <x v="0"/>
    <n v="399.23"/>
    <d v="2019-06-21T00:00:00"/>
    <s v="Brokerage "/>
    <s v="Endorsement"/>
    <m/>
    <d v="2020-01-22T00:00:00"/>
  </r>
  <r>
    <s v="Shruti Roy"/>
    <s v="H0067187"/>
    <s v="Active"/>
    <d v="2019-02-28T00:00:00"/>
    <d v="2020-02-27T00:00:00"/>
    <s v="Employee Benefits"/>
    <n v="10"/>
    <s v="Mark"/>
    <s v="Ahmedabad"/>
    <s v="Employee Benefits (EB)"/>
    <x v="0"/>
    <n v="6259.35"/>
    <d v="2019-06-21T00:00:00"/>
    <s v="Brokerage "/>
    <s v="Endorsement"/>
    <m/>
    <d v="2020-01-22T00:00:00"/>
  </r>
  <r>
    <s v="Archana Singh"/>
    <s v="H0067187"/>
    <s v="Active"/>
    <d v="2019-02-28T00:00:00"/>
    <d v="2020-02-27T00:00:00"/>
    <s v="Employee Benefits"/>
    <n v="10"/>
    <s v="Mark"/>
    <s v="Ahmedabad"/>
    <s v="Employee Benefits (EB)"/>
    <x v="0"/>
    <n v="7110.45"/>
    <d v="2019-07-29T00:00:00"/>
    <s v="Brokerage "/>
    <s v="Endorsement"/>
    <m/>
    <d v="2020-01-22T00:00:00"/>
  </r>
  <r>
    <s v="Mukul Goyal"/>
    <s v="H0067187"/>
    <s v="Active"/>
    <d v="2019-02-28T00:00:00"/>
    <d v="2020-02-27T00:00:00"/>
    <s v="Employee Benefits"/>
    <n v="10"/>
    <s v="Mark"/>
    <s v="Ahmedabad"/>
    <s v="Employee Benefits (EB)"/>
    <x v="0"/>
    <n v="5501.03"/>
    <d v="2019-10-21T00:00:00"/>
    <s v="Brokerage "/>
    <s v="Endorsement"/>
    <m/>
    <d v="2020-01-22T00:00:00"/>
  </r>
  <r>
    <s v="Namita Bajaj"/>
    <s v="4016 X 185834560 00 000"/>
    <s v="Active"/>
    <d v="2019-11-08T00:00:00"/>
    <d v="2020-11-07T00:00:00"/>
    <s v="Employee Benefits"/>
    <n v="10"/>
    <s v="Mark"/>
    <s v="Ahmedabad"/>
    <s v="Employee Benefits (EB)"/>
    <x v="0"/>
    <n v="24311.1"/>
    <d v="2019-11-08T00:00:00"/>
    <s v="Brokerage"/>
    <s v="Inception"/>
    <m/>
    <d v="2020-01-22T00:00:00"/>
  </r>
  <r>
    <s v="Nikita Joshi"/>
    <n v="3.1242012736917002E+18"/>
    <s v="Active"/>
    <d v="2018-07-31T00:00:00"/>
    <d v="2019-07-01T00:00:00"/>
    <s v="Liability"/>
    <n v="3"/>
    <s v="Animesh Rawat"/>
    <s v="Ahmedabad"/>
    <s v="Global Client Network (GNB Inward)"/>
    <x v="0"/>
    <n v="42416.75"/>
    <d v="2019-07-01T00:00:00"/>
    <s v="Brokerage"/>
    <s v="Inception"/>
    <m/>
    <d v="2020-01-22T00:00:00"/>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r>
    <m/>
    <m/>
    <m/>
    <m/>
    <m/>
    <m/>
    <m/>
    <m/>
    <m/>
    <m/>
    <x v="3"/>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anjay Trivedi"/>
    <s v="Ahmedabad"/>
    <s v="Construction, Power &amp; Infrastructure"/>
    <n v="3"/>
    <s v="Nishant Sharma"/>
    <x v="0"/>
    <n v="139240"/>
    <d v="2019-07-17T00:00:00"/>
    <s v="Fees"/>
  </r>
  <r>
    <s v="Anita Sethi"/>
    <s v="Ahmedabad"/>
    <s v="Construction, Power &amp; Infrastructure"/>
    <n v="3"/>
    <s v="Nishant Sharma"/>
    <x v="0"/>
    <n v="139240"/>
    <d v="2019-01-21T00:00:00"/>
    <s v="Fees"/>
  </r>
  <r>
    <s v="Ashok Chatterjee"/>
    <s v="Ahmedabad"/>
    <s v="GL Client Network (GNB Inward)"/>
    <n v="1"/>
    <s v="Vinay"/>
    <x v="1"/>
    <n v="2200"/>
    <d v="2019-12-20T00:00:00"/>
    <s v="Fees"/>
  </r>
  <r>
    <s v="Rani Agarwal"/>
    <s v="Ahmedabad"/>
    <s v="GL Client Network (GNB Inward)"/>
    <n v="1"/>
    <s v="Vinay"/>
    <x v="1"/>
    <n v="4500"/>
    <d v="2019-01-25T00:00:00"/>
    <s v="Fees"/>
  </r>
  <r>
    <s v="Arjun Rao"/>
    <s v="Ahmedabad"/>
    <s v="Construction, Power &amp; Infrastructure"/>
    <n v="3"/>
    <s v="Nishant Sharma"/>
    <x v="0"/>
    <n v="118000"/>
    <d v="2019-03-15T00:00:00"/>
    <s v="Fees"/>
  </r>
  <r>
    <s v="Anil Naik"/>
    <s v="Ahmedabad"/>
    <s v="GL Client Network (GNB Inward)"/>
    <n v="1"/>
    <s v="Vinay"/>
    <x v="1"/>
    <n v="2800"/>
    <d v="2019-05-28T00:00:00"/>
    <s v="Fees"/>
  </r>
  <r>
    <s v="Simran Trivedi"/>
    <s v="Ahmedabad"/>
    <s v="GL Client Network (GNB Inward)"/>
    <n v="1"/>
    <s v="Vinay"/>
    <x v="1"/>
    <n v="3241"/>
    <d v="2019-01-25T00:00:00"/>
    <s v="Fees"/>
  </r>
  <r>
    <s v="Dhruv Chopra"/>
    <s v="Ahmedabad"/>
    <s v="Liability"/>
    <n v="2"/>
    <s v="Abhinav Shivam"/>
    <x v="2"/>
    <n v="100000"/>
    <d v="2019-04-10T00:00:00"/>
    <s v="Fees"/>
  </r>
  <r>
    <s v="Jaya Chopra"/>
    <s v="Ahmedabad"/>
    <s v="GL Client Network (GNB Inward)"/>
    <n v="1"/>
    <s v="Vinay"/>
    <x v="1"/>
    <n v="5310"/>
    <d v="2019-12-06T00:00:00"/>
    <s v="Fees"/>
  </r>
  <r>
    <m/>
    <m/>
    <m/>
    <m/>
    <m/>
    <x v="3"/>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5">
  <r>
    <n v="1900001087"/>
    <d v="2019-04-11T00:00:00"/>
    <s v="Fees"/>
    <s v="Ahmedabad"/>
    <s v="Liability"/>
    <n v="10"/>
    <s v="Mark"/>
    <x v="0"/>
    <s v="Sanjay Trivedi"/>
    <m/>
    <n v="84746"/>
    <d v="2019-04-10T00:00:00"/>
  </r>
  <r>
    <n v="1900001106"/>
    <d v="2019-05-17T00:00:00"/>
    <s v="Brokerage"/>
    <s v="Ahmedabad"/>
    <s v="Global Client Network (GNB Inward)"/>
    <n v="4"/>
    <s v="Gilbert"/>
    <x v="1"/>
    <s v="Anita Sethi"/>
    <n v="2.4142020928135997E+18"/>
    <n v="86724"/>
    <d v="2019-01-01T00:00:00"/>
  </r>
  <r>
    <n v="1900001110"/>
    <d v="2019-05-17T00:00:00"/>
    <s v="Brokerage"/>
    <s v="Ahmedabad"/>
    <s v="Global Client Network (GNB Inward)"/>
    <n v="4"/>
    <s v="Gilbert"/>
    <x v="1"/>
    <s v="Ashok Chatterjee"/>
    <s v="OG-19-2202-1018-00000060"/>
    <n v="148500"/>
    <d v="2019-03-01T00:00:00"/>
  </r>
  <r>
    <n v="1900001136"/>
    <d v="2019-05-30T00:00:00"/>
    <s v="Brokerage"/>
    <s v="Ahmedabad"/>
    <s v="Global Client Network (GNB Inward)"/>
    <n v="1"/>
    <s v="Vinay"/>
    <x v="2"/>
    <s v="Rani Agarwal"/>
    <s v="OG-19-2202-3383-00000010"/>
    <n v="12019"/>
    <d v="2019-01-01T00:00:00"/>
  </r>
  <r>
    <n v="1900001164"/>
    <d v="2019-06-11T00:00:00"/>
    <s v="Brokerage"/>
    <s v="Ahmedabad"/>
    <s v="Global Client Network (GNB Inward)"/>
    <n v="4"/>
    <s v="Gilbert"/>
    <x v="1"/>
    <s v="Arjun Rao"/>
    <s v="020P000098803000"/>
    <n v="12500"/>
    <d v="2019-02-26T00:00:00"/>
  </r>
  <r>
    <n v="1900001165"/>
    <d v="2019-06-11T00:00:00"/>
    <s v="Brokerage"/>
    <s v="Ahmedabad"/>
    <s v="Employee Benefits (EB)"/>
    <n v="5"/>
    <s v="Juli"/>
    <x v="0"/>
    <s v="Anil Naik"/>
    <n v="206314000000"/>
    <n v="58300"/>
    <d v="2019-02-16T00:00:00"/>
  </r>
  <r>
    <n v="1900001167"/>
    <d v="2019-06-13T00:00:00"/>
    <s v="Brokerage"/>
    <s v="Ahmedabad"/>
    <s v="Global Client Network (GNB Inward)"/>
    <n v="1"/>
    <s v="Vinay"/>
    <x v="2"/>
    <s v="Simran Trivedi"/>
    <s v="OG-19-2202-3383-00000009"/>
    <n v="12019"/>
    <d v="2019-01-01T00:00:00"/>
  </r>
  <r>
    <n v="1900001168"/>
    <d v="2019-06-13T00:00:00"/>
    <s v="Brokerage"/>
    <s v="Ahmedabad"/>
    <s v="Global Client Network (GNB Inward)"/>
    <n v="1"/>
    <s v="Vinay"/>
    <x v="2"/>
    <s v="Dhruv Chopra"/>
    <s v="OG-19-2202-3383-00000008"/>
    <n v="30048"/>
    <d v="2019-01-01T00:00:00"/>
  </r>
  <r>
    <n v="1900001169"/>
    <d v="2019-06-13T00:00:00"/>
    <s v="Brokerage"/>
    <s v="Ahmedabad"/>
    <s v="Global Client Network (GNB Inward)"/>
    <n v="4"/>
    <s v="Gilbert"/>
    <x v="1"/>
    <s v="Jaya Chopra"/>
    <n v="3.1242015891005998E+18"/>
    <n v="14394"/>
    <d v="2019-01-02T00:00:00"/>
  </r>
  <r>
    <n v="1900001282"/>
    <d v="2019-07-13T00:00:00"/>
    <s v="Brokerage"/>
    <s v="Ahmedabad"/>
    <s v="Employee Benefits (EB)"/>
    <n v="6"/>
    <s v="Ketan Jain"/>
    <x v="0"/>
    <s v="Kiran Goyal"/>
    <s v="H0048996"/>
    <n v="32392"/>
    <d v="2019-05-10T00:00:00"/>
  </r>
  <r>
    <n v="1900001293"/>
    <d v="2019-07-16T00:00:00"/>
    <s v="Brokerage"/>
    <s v="Ahmedabad"/>
    <s v="Liability"/>
    <n v="13"/>
    <s v="Vidit Shah"/>
    <x v="2"/>
    <s v="Pravin Sengupta"/>
    <s v="'001P000202300000"/>
    <n v="162500"/>
    <d v="2019-04-05T00:00:00"/>
  </r>
  <r>
    <n v="1900001294"/>
    <d v="2019-07-16T00:00:00"/>
    <s v="Brokerage"/>
    <s v="Ahmedabad"/>
    <s v="Liability"/>
    <n v="13"/>
    <s v="Vidit Shah"/>
    <x v="2"/>
    <s v="Snehal Das"/>
    <s v="'001P000203500000"/>
    <n v="250000"/>
    <d v="2019-04-18T00:00:00"/>
  </r>
  <r>
    <n v="1900001304"/>
    <d v="2019-07-17T00:00:00"/>
    <s v="Brokerage"/>
    <s v="Ahmedabad"/>
    <s v="Global Client Network (GNB Inward)"/>
    <n v="1"/>
    <s v="Vinay"/>
    <x v="2"/>
    <s v="Rajesh Malhotra"/>
    <n v="2280082714"/>
    <n v="2646"/>
    <d v="2019-03-11T00:00:00"/>
  </r>
  <r>
    <n v="1900001305"/>
    <d v="2019-07-17T00:00:00"/>
    <s v="Brokerage"/>
    <s v="Ahmedabad"/>
    <s v="Global Client Network (GNB Inward)"/>
    <n v="4"/>
    <s v="Gilbert"/>
    <x v="0"/>
    <s v="Archana Bhatia"/>
    <n v="8502066"/>
    <n v="18150"/>
    <d v="2019-01-03T00:00:00"/>
  </r>
  <r>
    <n v="1900001306"/>
    <d v="2019-07-17T00:00:00"/>
    <s v="Brokerage"/>
    <s v="Ahmedabad"/>
    <s v="Liability"/>
    <n v="2"/>
    <s v="Abhinav Shivam"/>
    <x v="2"/>
    <s v="Ashok Reddy"/>
    <s v="2999202758217600000&quot;"/>
    <n v="60025"/>
    <d v="2019-04-22T00:00:00"/>
  </r>
  <r>
    <n v="1900001308"/>
    <d v="2019-07-17T00:00:00"/>
    <s v="Brokerage"/>
    <s v="Ahmedabad"/>
    <s v="Construction, Power &amp; Infrastructure"/>
    <n v="3"/>
    <s v="Animesh Rawat"/>
    <x v="2"/>
    <s v="Madhuri Bhatia"/>
    <n v="9.9000044190299996E+19"/>
    <n v="134736"/>
    <d v="2019-04-25T00:00:00"/>
  </r>
  <r>
    <n v="1900001342"/>
    <d v="2019-07-23T00:00:00"/>
    <s v="Brokerage"/>
    <s v="Ahmedabad"/>
    <s v="Employee Benefits (EB)"/>
    <n v="6"/>
    <s v="Ketan Jain"/>
    <x v="1"/>
    <s v="Pranav Mishra"/>
    <s v="H0048996"/>
    <n v="914999"/>
    <d v="2019-01-01T00:00:00"/>
  </r>
  <r>
    <n v="1900001354"/>
    <d v="2019-07-24T00:00:00"/>
    <s v="Brokerage"/>
    <s v="Ahmedabad"/>
    <s v="Global Client Network (GNB Inward)"/>
    <n v="1"/>
    <s v="Vinay"/>
    <x v="2"/>
    <s v="Rina Goyal"/>
    <n v="3.1142027482102001E+18"/>
    <n v="2942"/>
    <d v="2019-04-11T00:00:00"/>
  </r>
  <r>
    <n v="1900001355"/>
    <d v="2019-07-24T00:00:00"/>
    <s v="Brokerage"/>
    <s v="Ahmedabad"/>
    <s v="Global Client Network (GNB Inward)"/>
    <n v="1"/>
    <s v="Vinay"/>
    <x v="2"/>
    <s v="Geeta Gupta"/>
    <s v="OG-19-2202-1002-00001981"/>
    <n v="6740"/>
    <d v="2019-03-04T00:00:00"/>
  </r>
  <r>
    <n v="1900001356"/>
    <d v="2019-07-24T00:00:00"/>
    <s v="Brokerage"/>
    <s v="Ahmedabad"/>
    <s v="Global Client Network (GNB Inward)"/>
    <n v="4"/>
    <s v="Gilbert"/>
    <x v="1"/>
    <s v="Sudhir Roy"/>
    <s v="OG-19-2202-1002-00001901"/>
    <n v="6740"/>
    <d v="2019-02-17T00:00:00"/>
  </r>
  <r>
    <n v="1900001361"/>
    <d v="2019-07-27T00:00:00"/>
    <s v="Brokerage"/>
    <s v="Ahmedabad"/>
    <s v="Liability"/>
    <n v="3"/>
    <s v="Animesh Rawat"/>
    <x v="2"/>
    <s v="Rani Kaul"/>
    <n v="41045707"/>
    <n v="74250"/>
    <d v="2019-04-01T00:00:00"/>
  </r>
  <r>
    <n v="1900001376"/>
    <d v="2019-07-29T00:00:00"/>
    <s v="Brokerage"/>
    <s v="Ahmedabad"/>
    <s v="Employee Benefits (EB)"/>
    <n v="6"/>
    <s v="Ketan Jain"/>
    <x v="0"/>
    <s v="Kavita Sharma"/>
    <s v="H0056637"/>
    <n v="1614"/>
    <d v="2019-03-11T00:00:00"/>
  </r>
  <r>
    <n v="1900001377"/>
    <d v="2019-07-29T00:00:00"/>
    <s v="Brokerage"/>
    <s v="Ahmedabad"/>
    <s v="Marine"/>
    <n v="13"/>
    <s v="Vidit Shah"/>
    <x v="2"/>
    <s v="Shikha Sethi"/>
    <s v="'99000021180100000013"/>
    <n v="11540"/>
    <d v="2019-01-29T00:00:00"/>
  </r>
  <r>
    <n v="1900001385"/>
    <d v="2019-07-31T00:00:00"/>
    <s v="Brokerage"/>
    <s v="Ahmedabad"/>
    <s v="Global Client Network (GNB Inward)"/>
    <n v="4"/>
    <s v="Gilbert"/>
    <x v="0"/>
    <s v="Amit Bhargava"/>
    <s v="P0019200001/9999/100301"/>
    <n v="2140"/>
    <d v="2019-01-30T00:00:00"/>
  </r>
  <r>
    <n v="1900001388"/>
    <d v="2019-07-31T00:00:00"/>
    <s v="Brokerage"/>
    <s v="Ahmedabad"/>
    <s v="Global Client Network (GNB Inward)"/>
    <n v="4"/>
    <s v="Gilbert"/>
    <x v="1"/>
    <s v="Alka Goel"/>
    <s v="0000000008502066-01"/>
    <n v="45375"/>
    <d v="2019-03-01T00:00:00"/>
  </r>
  <r>
    <n v="1900001390"/>
    <d v="2019-07-31T00:00:00"/>
    <s v="Brokerage"/>
    <s v="Ahmedabad"/>
    <s v="Global Client Network (GNB Inward)"/>
    <n v="1"/>
    <s v="Vinay"/>
    <x v="2"/>
    <s v="Harish Sharma"/>
    <n v="32119154"/>
    <n v="11593"/>
    <d v="2019-04-01T00:00:00"/>
  </r>
  <r>
    <n v="1900001392"/>
    <d v="2019-07-31T00:00:00"/>
    <s v="Brokerage"/>
    <s v="Ahmedabad"/>
    <s v="Employee Benefits (EB)"/>
    <n v="6"/>
    <s v="Ketan Jain"/>
    <x v="0"/>
    <s v="Gaurav Goel"/>
    <s v="H0048996"/>
    <n v="46995"/>
    <d v="2019-01-29T00:00:00"/>
  </r>
  <r>
    <n v="1900001393"/>
    <d v="2019-07-31T00:00:00"/>
    <s v="Brokerage"/>
    <s v="Ahmedabad"/>
    <s v="Global Client Network (GNB Inward)"/>
    <n v="1"/>
    <s v="Vinay"/>
    <x v="2"/>
    <s v="Ravi Naik"/>
    <s v="OG-19-2202-4010-00002245"/>
    <n v="529"/>
    <d v="2019-02-18T00:00:00"/>
  </r>
  <r>
    <n v="1900001394"/>
    <d v="2019-07-31T00:00:00"/>
    <s v="Brokerage"/>
    <s v="Ahmedabad"/>
    <s v="Global Client Network (GNB Inward)"/>
    <n v="4"/>
    <s v="Gilbert"/>
    <x v="1"/>
    <s v="Kamlesh Prasad"/>
    <s v="OG-19-2202-1018-00000059"/>
    <n v="18563"/>
    <d v="2019-03-01T00:00:00"/>
  </r>
  <r>
    <n v="1900001396"/>
    <d v="2019-07-31T00:00:00"/>
    <s v="Brokerage"/>
    <s v="Ahmedabad"/>
    <s v="Employee Benefits (EB)"/>
    <n v="6"/>
    <s v="Ketan Jain"/>
    <x v="0"/>
    <s v="Nikhil Verma"/>
    <s v="H0048996"/>
    <n v="27435"/>
    <d v="2019-01-23T00:00:00"/>
  </r>
  <r>
    <n v="1900001397"/>
    <d v="2019-07-31T00:00:00"/>
    <s v="Brokerage"/>
    <s v="Ahmedabad"/>
    <s v="Employee Benefits (EB)"/>
    <n v="6"/>
    <s v="Ketan Jain"/>
    <x v="1"/>
    <s v="Vaishali Desai"/>
    <s v="505373-01"/>
    <n v="25336"/>
    <d v="2019-02-26T00:00:00"/>
  </r>
  <r>
    <n v="1900001398"/>
    <d v="2019-07-31T00:00:00"/>
    <s v="Brokerage"/>
    <s v="Ahmedabad"/>
    <s v="Employee Benefits (EB)"/>
    <n v="6"/>
    <s v="Ketan Jain"/>
    <x v="2"/>
    <s v="Atul Naik"/>
    <s v="H0067187"/>
    <n v="10772"/>
    <d v="2019-03-14T00:00:00"/>
  </r>
  <r>
    <n v="1900001403"/>
    <d v="2019-07-31T00:00:00"/>
    <s v="Brokerage"/>
    <s v="Ahmedabad"/>
    <s v="Employee Benefits (EB)"/>
    <n v="6"/>
    <s v="Ketan Jain"/>
    <x v="2"/>
    <s v="Meena Bhargava"/>
    <s v="H0067187"/>
    <n v="9283"/>
    <d v="2019-04-18T00:00:00"/>
  </r>
  <r>
    <n v="1900001404"/>
    <d v="2019-07-31T00:00:00"/>
    <s v="Brokerage"/>
    <s v="Ahmedabad"/>
    <s v="Employee Benefits (EB)"/>
    <n v="6"/>
    <s v="Ketan Jain"/>
    <x v="2"/>
    <s v="Mona Chopra"/>
    <s v="H0067187"/>
    <n v="6903"/>
    <d v="2019-05-30T00:00:00"/>
  </r>
  <r>
    <n v="1900001405"/>
    <d v="2019-07-31T00:00:00"/>
    <s v="Brokerage"/>
    <s v="Ahmedabad"/>
    <s v="Construction, Power &amp; Infrastructure"/>
    <n v="13"/>
    <s v="Vidit Shah"/>
    <x v="1"/>
    <s v="Mohit Tiwari"/>
    <s v="'99000044190700000001"/>
    <n v="90663"/>
    <d v="2019-04-01T00:00:00"/>
  </r>
  <r>
    <n v="1900001583"/>
    <d v="2019-08-14T00:00:00"/>
    <s v="Brokerage"/>
    <s v="Ahmedabad"/>
    <s v="Employee Benefits (EB)"/>
    <n v="6"/>
    <s v="Ketan Jain"/>
    <x v="1"/>
    <s v="Tina Dutta"/>
    <s v="100200080123/01/00"/>
    <n v="156000"/>
    <d v="2019-01-04T00:00:00"/>
  </r>
  <r>
    <n v="1900001602"/>
    <d v="2019-08-17T00:00:00"/>
    <s v="Brokerage"/>
    <s v="Ahmedabad"/>
    <s v="Global Client Network (GNB Inward)"/>
    <n v="1"/>
    <s v="Vinay"/>
    <x v="2"/>
    <s v="Hemant Das"/>
    <s v="OG-19-2202-1018-00000054"/>
    <n v="21157"/>
    <d v="2019-01-01T00:00:00"/>
  </r>
  <r>
    <n v="1900001603"/>
    <d v="2019-08-17T00:00:00"/>
    <s v="Brokerage"/>
    <s v="Ahmedabad"/>
    <s v="Global Client Network (GNB Inward)"/>
    <n v="1"/>
    <s v="Vinay"/>
    <x v="2"/>
    <s v="Sanjana Bhargava"/>
    <s v="OG-19-2202-1018-00000053"/>
    <n v="77787"/>
    <d v="2019-01-01T00:00:00"/>
  </r>
  <r>
    <n v="1900001604"/>
    <d v="2019-08-17T00:00:00"/>
    <s v="Brokerage"/>
    <s v="Ahmedabad"/>
    <s v="Global Client Network (GNB Inward)"/>
    <n v="1"/>
    <s v="Vinay"/>
    <x v="2"/>
    <s v="Kamlesh Trivedi"/>
    <s v="OG-19-2202-4001-00011127"/>
    <n v="8468"/>
    <d v="2019-02-18T00:00:00"/>
  </r>
  <r>
    <n v="1900001605"/>
    <d v="2019-08-17T00:00:00"/>
    <s v="Brokerage"/>
    <s v="Ahmedabad"/>
    <s v="Employee Benefits (EB)"/>
    <n v="6"/>
    <s v="Ketan Jain"/>
    <x v="1"/>
    <s v="Nikita Tiwari"/>
    <s v="237164239 00"/>
    <n v="1825"/>
    <d v="2019-02-01T00:00:00"/>
  </r>
  <r>
    <n v="1900001606"/>
    <d v="2019-08-17T00:00:00"/>
    <s v="Brokerage"/>
    <s v="Ahmedabad"/>
    <s v="Employee Benefits (EB)"/>
    <n v="6"/>
    <s v="Ketan Jain"/>
    <x v="1"/>
    <s v="Kapil Kapoor"/>
    <s v="H0067187"/>
    <n v="329250"/>
    <d v="2019-02-28T00:00:00"/>
  </r>
  <r>
    <n v="1900001607"/>
    <d v="2019-08-17T00:00:00"/>
    <s v="Brokerage"/>
    <s v="Ahmedabad"/>
    <s v="Global Client Network (GNB Inward)"/>
    <n v="4"/>
    <s v="Gilbert"/>
    <x v="1"/>
    <s v="Harish Rana"/>
    <n v="304003763"/>
    <n v="344794"/>
    <d v="2019-04-01T00:00:00"/>
  </r>
  <r>
    <n v="1900001608"/>
    <d v="2019-08-17T00:00:00"/>
    <s v="Brokerage"/>
    <s v="Ahmedabad"/>
    <s v="Global Client Network (GNB Inward)"/>
    <n v="4"/>
    <s v="Gilbert"/>
    <x v="1"/>
    <s v="Nikhil Pandit"/>
    <s v="2304001082-01"/>
    <n v="37500"/>
    <d v="2019-04-01T00:00:00"/>
  </r>
  <r>
    <n v="1900001609"/>
    <d v="2019-08-17T00:00:00"/>
    <s v="Brokerage"/>
    <s v="Ahmedabad"/>
    <s v="Employee Benefits (EB)"/>
    <n v="6"/>
    <s v="Ketan Jain"/>
    <x v="1"/>
    <s v="Vivek Rana"/>
    <s v="H0056637"/>
    <n v="49789"/>
    <d v="2019-01-01T00:00:00"/>
  </r>
  <r>
    <n v="1900001610"/>
    <d v="2019-08-17T00:00:00"/>
    <s v="Brokerage"/>
    <s v="Ahmedabad"/>
    <s v="Global Client Network (GNB Inward)"/>
    <n v="4"/>
    <s v="Gilbert"/>
    <x v="1"/>
    <s v="Hemant Nair"/>
    <s v="0600010004 01"/>
    <n v="64"/>
    <d v="2019-03-16T00:00:00"/>
  </r>
  <r>
    <n v="1900001611"/>
    <d v="2019-08-17T00:00:00"/>
    <s v="Brokerage"/>
    <s v="Ahmedabad"/>
    <s v="Global Client Network (GNB Inward)"/>
    <n v="4"/>
    <s v="Gilbert"/>
    <x v="1"/>
    <s v="Veena Bhargava"/>
    <s v="0000000008907502-01"/>
    <n v="6250"/>
    <d v="2019-02-24T00:00:00"/>
  </r>
  <r>
    <n v="1900002041"/>
    <d v="2019-08-28T00:00:00"/>
    <s v="Brokerage"/>
    <s v="Ahmedabad"/>
    <s v="Trade Credit &amp;amp; Political Risk"/>
    <n v="1"/>
    <s v="Vinay"/>
    <x v="1"/>
    <s v="Shivam Shah"/>
    <n v="1.31000501801E+19"/>
    <n v="124875"/>
    <d v="2019-03-07T00:00:00"/>
  </r>
  <r>
    <n v="1900002042"/>
    <d v="2019-08-28T00:00:00"/>
    <s v="Brokerage"/>
    <s v="Ahmedabad"/>
    <s v="Liability"/>
    <n v="3"/>
    <s v="Animesh Rawat"/>
    <x v="2"/>
    <s v="Bhavna Bhandari"/>
    <n v="43190133"/>
    <n v="7783"/>
    <d v="2019-06-11T00:00:00"/>
  </r>
  <r>
    <n v="1900002043"/>
    <d v="2019-08-28T00:00:00"/>
    <s v="Brokerage"/>
    <s v="Ahmedabad"/>
    <s v="Liability"/>
    <n v="3"/>
    <s v="Animesh Rawat"/>
    <x v="2"/>
    <s v="Tarun Shah"/>
    <n v="43189992"/>
    <n v="7835"/>
    <d v="2019-06-10T00:00:00"/>
  </r>
  <r>
    <n v="1900002044"/>
    <d v="2019-08-28T00:00:00"/>
    <s v="Brokerage"/>
    <s v="Ahmedabad"/>
    <s v="Liability"/>
    <n v="5"/>
    <s v="Juli"/>
    <x v="0"/>
    <s v="Hemant Chauhan"/>
    <n v="41045400"/>
    <n v="70125"/>
    <d v="2019-03-19T00:00:00"/>
  </r>
  <r>
    <n v="1900002045"/>
    <d v="2019-08-28T00:00:00"/>
    <s v="Brokerage"/>
    <s v="Ahmedabad"/>
    <s v="Liability"/>
    <n v="5"/>
    <s v="Juli"/>
    <x v="0"/>
    <s v="Geeta Verma"/>
    <n v="41045403"/>
    <n v="70125"/>
    <d v="2019-03-19T00:00:00"/>
  </r>
  <r>
    <n v="1900002046"/>
    <d v="2019-08-28T00:00:00"/>
    <s v="Brokerage"/>
    <s v="Ahmedabad"/>
    <s v="Property / BI"/>
    <n v="13"/>
    <s v="Vidit Shah"/>
    <x v="1"/>
    <s v="Ashok Patel"/>
    <s v="'99000046192400000001"/>
    <n v="60229"/>
    <d v="2019-04-01T00:00:00"/>
  </r>
  <r>
    <n v="1900002047"/>
    <d v="2019-08-28T00:00:00"/>
    <s v="Brokerage"/>
    <s v="Ahmedabad"/>
    <s v="Property / BI"/>
    <n v="13"/>
    <s v="Vidit Shah"/>
    <x v="1"/>
    <s v="Gayatri Reddy"/>
    <s v="'99000011180100000303"/>
    <n v="98931"/>
    <d v="2019-01-16T00:00:00"/>
  </r>
  <r>
    <n v="1900002048"/>
    <d v="2019-08-28T00:00:00"/>
    <s v="Brokerage"/>
    <s v="Ahmedabad"/>
    <s v="Global Client Network (GNB Inward)"/>
    <n v="1"/>
    <s v="Vinay"/>
    <x v="2"/>
    <s v="Snehal Patel"/>
    <s v="OG-19-2202-1018-00000055"/>
    <n v="21769"/>
    <d v="2019-01-01T00:00:00"/>
  </r>
  <r>
    <n v="1900002049"/>
    <d v="2019-08-28T00:00:00"/>
    <s v="Brokerage"/>
    <s v="Ahmedabad"/>
    <s v="Global Client Network (GNB Inward)"/>
    <n v="4"/>
    <s v="Gilbert"/>
    <x v="1"/>
    <s v="Vivek Yadav"/>
    <s v="0640002231 04"/>
    <n v="65369"/>
    <d v="2019-04-17T00:00:00"/>
  </r>
  <r>
    <n v="1900002050"/>
    <d v="2019-08-28T00:00:00"/>
    <s v="Brokerage"/>
    <s v="Ahmedabad"/>
    <s v="Global Client Network (GNB Inward)"/>
    <n v="4"/>
    <s v="Gilbert"/>
    <x v="1"/>
    <s v="Kiran Saxena"/>
    <n v="304003761"/>
    <n v="5206"/>
    <d v="2019-04-01T00:00:00"/>
  </r>
  <r>
    <n v="1900002051"/>
    <d v="2019-08-28T00:00:00"/>
    <s v="Brokerage"/>
    <s v="Ahmedabad"/>
    <s v="Global Client Network (GNB Inward)"/>
    <n v="4"/>
    <s v="Gilbert"/>
    <x v="1"/>
    <s v="Uday Reddy"/>
    <s v="0301004265-1"/>
    <n v="23750"/>
    <d v="2019-03-09T00:00:00"/>
  </r>
  <r>
    <n v="1900002052"/>
    <d v="2019-08-28T00:00:00"/>
    <s v="Brokerage"/>
    <s v="Ahmedabad"/>
    <s v="Global Client Network (GNB Inward)"/>
    <n v="4"/>
    <s v="Gilbert"/>
    <x v="1"/>
    <s v="Anita Pandit"/>
    <s v="0600010004 02"/>
    <n v="1557"/>
    <d v="2019-04-16T00:00:00"/>
  </r>
  <r>
    <n v="1900002072"/>
    <d v="2019-08-28T00:00:00"/>
    <s v="Brokerage"/>
    <s v="Ahmedabad"/>
    <s v="Construction, Power &amp; Infrastructure"/>
    <n v="13"/>
    <s v="Vidit Shah"/>
    <x v="2"/>
    <s v="Hina Malhotra"/>
    <s v="'99000044190300000004"/>
    <n v="40960"/>
    <d v="2019-04-20T00:00:00"/>
  </r>
  <r>
    <n v="1900002229"/>
    <d v="2019-08-31T00:00:00"/>
    <s v="Brokerage"/>
    <s v="Ahmedabad"/>
    <s v="Construction, Power &amp; Infrastructure"/>
    <n v="13"/>
    <s v="Vidit Shah"/>
    <x v="1"/>
    <s v="Alka Patel"/>
    <s v="'99000044180700000012"/>
    <n v="12055"/>
    <d v="2019-02-14T00:00:00"/>
  </r>
  <r>
    <n v="1900002230"/>
    <d v="2019-08-31T00:00:00"/>
    <s v="Brokerage"/>
    <s v="Ahmedabad"/>
    <s v="Property / BI"/>
    <n v="13"/>
    <s v="Vidit Shah"/>
    <x v="1"/>
    <s v="Shruti Roy"/>
    <s v="'99000011180100000340"/>
    <n v="131090"/>
    <d v="2019-02-26T00:00:00"/>
  </r>
  <r>
    <n v="1900002232"/>
    <d v="2019-08-31T00:00:00"/>
    <s v="Brokerage"/>
    <s v="Ahmedabad"/>
    <s v="Construction, Power &amp; Infrastructure"/>
    <n v="13"/>
    <s v="Vidit Shah"/>
    <x v="1"/>
    <s v="Archana Singh"/>
    <s v="'99000044185800000014"/>
    <n v="27069"/>
    <d v="2019-02-14T00:00:00"/>
  </r>
  <r>
    <n v="1900002265"/>
    <d v="2019-08-31T00:00:00"/>
    <s v="Brokerage"/>
    <s v="Ahmedabad"/>
    <s v="Global Client Network (GNB Inward)"/>
    <n v="4"/>
    <s v="Gilbert"/>
    <x v="1"/>
    <s v="Mukul Goyal"/>
    <s v="4092/151965577/01/000"/>
    <n v="215165"/>
    <d v="2019-04-01T00:00:00"/>
  </r>
  <r>
    <n v="1900002331"/>
    <d v="2019-09-03T00:00:00"/>
    <s v="Brokerage"/>
    <s v="Ahmedabad"/>
    <s v="Global Client Network (GNB Inward)"/>
    <n v="4"/>
    <s v="Gilbert"/>
    <x v="1"/>
    <s v="Namita Bajaj"/>
    <s v="5002/131802941/02/000"/>
    <n v="870"/>
    <d v="2019-05-26T00:00:00"/>
  </r>
  <r>
    <n v="1900002384"/>
    <d v="2019-09-05T00:00:00"/>
    <s v="Brokerage"/>
    <s v="Ahmedabad"/>
    <s v="Trade Credit &amp;amp; Political Risk"/>
    <n v="1"/>
    <s v="Vinay"/>
    <x v="0"/>
    <s v="Nikita Joshi"/>
    <n v="2000010048"/>
    <n v="8174"/>
    <d v="2019-07-18T00:00:00"/>
  </r>
  <r>
    <n v="1900002387"/>
    <d v="2019-09-05T00:00:00"/>
    <s v="Brokerage"/>
    <s v="Ahmedabad"/>
    <s v="Employee Benefits (EB)"/>
    <n v="6"/>
    <s v="Ketan Jain"/>
    <x v="1"/>
    <s v="Tejas Shah"/>
    <s v="4016/120415654/03/00"/>
    <n v="22246"/>
    <d v="2019-07-14T00:00:00"/>
  </r>
  <r>
    <n v="1900002458"/>
    <d v="2019-09-09T00:00:00"/>
    <s v="Brokerage"/>
    <s v="Ahmedabad"/>
    <s v="Liability"/>
    <n v="5"/>
    <s v="Juli"/>
    <x v="0"/>
    <s v="Kavita Rao"/>
    <n v="43187020"/>
    <n v="7451"/>
    <d v="2019-04-22T00:00:00"/>
  </r>
  <r>
    <n v="1900002464"/>
    <d v="2019-09-09T00:00:00"/>
    <s v="Brokerage"/>
    <s v="Ahmedabad"/>
    <s v="Employee Benefits (EB)"/>
    <n v="6"/>
    <s v="Ketan Jain"/>
    <x v="2"/>
    <s v="Hemant Shah"/>
    <s v="H0067187"/>
    <n v="7110"/>
    <d v="2019-07-29T00:00:00"/>
  </r>
  <r>
    <n v="1900002472"/>
    <d v="2019-09-09T00:00:00"/>
    <s v="Brokerage"/>
    <s v="Ahmedabad"/>
    <s v="Global Client Network (GNB Inward)"/>
    <n v="4"/>
    <s v="Gilbert"/>
    <x v="1"/>
    <s v="Prabhat Naik"/>
    <s v="4006/131284920/02/000"/>
    <n v="692"/>
    <d v="2019-05-15T00:00:00"/>
  </r>
  <r>
    <n v="1900002635"/>
    <d v="2019-09-17T00:00:00"/>
    <s v="Brokerage"/>
    <s v="Ahmedabad"/>
    <s v="Trade Credit &amp;amp; Political Risk"/>
    <n v="1"/>
    <s v="Vinay"/>
    <x v="1"/>
    <s v="Nikhil Tiwari"/>
    <s v="NBI Domestic"/>
    <n v="65051"/>
    <d v="2019-01-01T00:00:00"/>
  </r>
  <r>
    <n v="1900002636"/>
    <d v="2019-09-17T00:00:00"/>
    <s v="Brokerage"/>
    <s v="Ahmedabad"/>
    <s v="Global Client Network (GNB Inward)"/>
    <n v="4"/>
    <s v="Gilbert"/>
    <x v="1"/>
    <s v="Neha Trivedi"/>
    <s v="4001/117090005/03/000"/>
    <n v="1005"/>
    <d v="2019-05-01T00:00:00"/>
  </r>
  <r>
    <n v="1900002637"/>
    <d v="2019-09-17T00:00:00"/>
    <s v="Brokerage"/>
    <s v="Ahmedabad"/>
    <s v="Employee Benefits (EB)"/>
    <n v="6"/>
    <s v="Ketan Jain"/>
    <x v="2"/>
    <s v="Shruti Agarwal"/>
    <s v="H0067187"/>
    <n v="6259"/>
    <d v="2019-06-21T00:00:00"/>
  </r>
  <r>
    <n v="1900002638"/>
    <d v="2019-09-17T00:00:00"/>
    <s v="Brokerage"/>
    <s v="Ahmedabad"/>
    <s v="Employee Benefits (EB)"/>
    <n v="6"/>
    <s v="Ketan Jain"/>
    <x v="2"/>
    <s v="Kiran Desai"/>
    <s v="H0048996"/>
    <n v="9941"/>
    <d v="2019-07-10T00:00:00"/>
  </r>
  <r>
    <n v="1900002639"/>
    <d v="2019-09-17T00:00:00"/>
    <s v="Brokerage"/>
    <s v="Ahmedabad"/>
    <s v="Global Client Network (GNB Inward)"/>
    <n v="1"/>
    <s v="Vinay"/>
    <x v="2"/>
    <s v="Kanchan Iyer"/>
    <s v="2600015265 00"/>
    <n v="9990"/>
    <d v="2019-05-23T00:00:00"/>
  </r>
  <r>
    <n v="1900002640"/>
    <d v="2019-09-17T00:00:00"/>
    <s v="Brokerage"/>
    <s v="Ahmedabad"/>
    <s v="Employee Benefits (EB)"/>
    <n v="6"/>
    <s v="Ketan Jain"/>
    <x v="1"/>
    <s v="Bhavna Kapoor"/>
    <s v="4016/133979727/02/000"/>
    <n v="74673"/>
    <d v="2019-06-29T00:00:00"/>
  </r>
  <r>
    <n v="1900002880"/>
    <d v="2019-09-20T00:00:00"/>
    <s v="Brokerage"/>
    <s v="Ahmedabad"/>
    <s v="Global Client Network (GNB Inward)"/>
    <n v="4"/>
    <s v="Gilbert"/>
    <x v="1"/>
    <s v="Ritika Reddy"/>
    <s v="0640002231 03"/>
    <n v="4362"/>
    <d v="2019-04-02T00:00:00"/>
  </r>
  <r>
    <n v="1900003129"/>
    <d v="2019-09-30T00:00:00"/>
    <s v="Brokerage"/>
    <s v="Ahmedabad"/>
    <s v="Property / BI"/>
    <n v="13"/>
    <s v="Vidit Shah"/>
    <x v="1"/>
    <s v="Suresh Das"/>
    <s v="'99000011180100000339"/>
    <n v="1610"/>
    <d v="2019-02-14T00:00:00"/>
  </r>
  <r>
    <n v="1900003131"/>
    <d v="2019-09-30T00:00:00"/>
    <s v="Brokerage"/>
    <s v="Ahmedabad"/>
    <s v="Global Client Network (GNB Inward)"/>
    <n v="4"/>
    <s v="Gilbert"/>
    <x v="1"/>
    <s v="Shikha Chauhan"/>
    <n v="3.1142011248201999E+18"/>
    <n v="20166"/>
    <d v="2019-07-01T00:00:00"/>
  </r>
  <r>
    <n v="1900003209"/>
    <d v="2019-10-10T00:00:00"/>
    <s v="Brokerage"/>
    <s v="Ahmedabad"/>
    <s v="Employee Benefits (EB)"/>
    <n v="6"/>
    <s v="Ketan Jain"/>
    <x v="1"/>
    <s v="Hemant Dutta"/>
    <s v="4005/134645920/02/000"/>
    <n v="8605"/>
    <d v="2019-06-29T00:00:00"/>
  </r>
  <r>
    <n v="1900003210"/>
    <d v="2019-10-10T00:00:00"/>
    <s v="Brokerage"/>
    <s v="Ahmedabad"/>
    <s v="Employee Benefits (EB)"/>
    <n v="6"/>
    <s v="Ketan Jain"/>
    <x v="1"/>
    <s v="Dinesh Pandey"/>
    <s v="4101190600000030-00"/>
    <n v="52500"/>
    <d v="2019-05-17T00:00:00"/>
  </r>
  <r>
    <n v="1900003211"/>
    <d v="2019-10-10T00:00:00"/>
    <s v="Brokerage"/>
    <s v="Ahmedabad"/>
    <s v="Liability"/>
    <n v="13"/>
    <s v="Vidit Shah"/>
    <x v="2"/>
    <s v="Archana Iyer"/>
    <s v="'99000036181500000054"/>
    <n v="21875"/>
    <d v="2019-02-01T00:00:00"/>
  </r>
  <r>
    <n v="1900003212"/>
    <d v="2019-10-10T00:00:00"/>
    <s v="Brokerage"/>
    <s v="Ahmedabad"/>
    <s v="Employee Benefits (EB)"/>
    <n v="6"/>
    <s v="Ketan Jain"/>
    <x v="2"/>
    <s v="Deepak Menon"/>
    <s v="H0048996"/>
    <n v="93906"/>
    <d v="2019-03-07T00:00:00"/>
  </r>
  <r>
    <n v="1900003213"/>
    <d v="2019-10-10T00:00:00"/>
    <s v="Brokerage"/>
    <s v="Ahmedabad"/>
    <s v="Employee Benefits (EB)"/>
    <n v="6"/>
    <s v="Ketan Jain"/>
    <x v="1"/>
    <s v="Vivek Gupta"/>
    <n v="54407334"/>
    <n v="23387"/>
    <d v="2019-01-01T00:00:00"/>
  </r>
  <r>
    <n v="1900003214"/>
    <d v="2019-10-10T00:00:00"/>
    <s v="Brokerage"/>
    <s v="Ahmedabad"/>
    <s v="Employee Benefits (EB)"/>
    <n v="6"/>
    <s v="Ketan Jain"/>
    <x v="1"/>
    <s v="Rina Shah"/>
    <s v="AG00059046000100"/>
    <n v="3347"/>
    <d v="2019-04-01T00:00:00"/>
  </r>
  <r>
    <n v="1900003404"/>
    <d v="2019-10-17T00:00:00"/>
    <s v="Brokerage"/>
    <s v="Ahmedabad"/>
    <s v="Liability"/>
    <n v="2"/>
    <s v="Abhinav Shivam"/>
    <x v="2"/>
    <s v="Uday Prasad"/>
    <n v="2.9992028733097999E+18"/>
    <n v="60025"/>
    <d v="2019-07-08T00:00:00"/>
  </r>
  <r>
    <n v="1900003405"/>
    <d v="2019-10-17T00:00:00"/>
    <s v="Brokerage"/>
    <s v="Ahmedabad"/>
    <s v="Marine"/>
    <n v="13"/>
    <s v="Vidit Shah"/>
    <x v="1"/>
    <s v="Nitin Kapoor"/>
    <s v="2412/202063061201000"/>
    <n v="13613"/>
    <d v="2019-01-07T00:00:00"/>
  </r>
  <r>
    <n v="1900003406"/>
    <d v="2019-10-17T00:00:00"/>
    <s v="Brokerage"/>
    <s v="Ahmedabad"/>
    <s v="Employee Benefits (EB)"/>
    <n v="5"/>
    <s v="Juli"/>
    <x v="0"/>
    <s v="Harish Kaul"/>
    <s v="4101190700000015-00"/>
    <n v="79834"/>
    <d v="2019-06-25T00:00:00"/>
  </r>
  <r>
    <n v="1900003407"/>
    <d v="2019-10-17T00:00:00"/>
    <s v="Brokerage"/>
    <s v="Ahmedabad"/>
    <s v="Liability"/>
    <n v="2"/>
    <s v="Abhinav Shivam"/>
    <x v="2"/>
    <s v="Neeraj Arora"/>
    <n v="2.9992028732742001E+18"/>
    <n v="60025"/>
    <d v="2019-07-08T00:00:00"/>
  </r>
  <r>
    <n v="1900003928"/>
    <d v="2019-11-12T00:00:00"/>
    <s v="Brokerage"/>
    <s v="Ahmedabad"/>
    <s v="Liability"/>
    <n v="10"/>
    <s v="Mark"/>
    <x v="2"/>
    <s v="Mukul Kumar"/>
    <n v="14055133"/>
    <n v="63000"/>
    <d v="2019-07-26T00:00:00"/>
  </r>
  <r>
    <n v="1900003930"/>
    <d v="2019-11-12T00:00:00"/>
    <s v="Fees"/>
    <s v="Ahmedabad"/>
    <s v="Construction, Power &amp; Infrastructure"/>
    <n v="2"/>
    <s v="Abhinav Shivam"/>
    <x v="2"/>
    <s v="Gauri Naik"/>
    <m/>
    <n v="100000"/>
    <d v="2019-07-17T00:00:00"/>
  </r>
  <r>
    <n v="1900003931"/>
    <d v="2019-11-12T00:00:00"/>
    <s v="Fees"/>
    <s v="Ahmedabad"/>
    <s v="Construction, Power &amp; Infrastructure"/>
    <n v="2"/>
    <s v="Abhinav Shivam"/>
    <x v="2"/>
    <s v="Harish Menon"/>
    <m/>
    <n v="100000"/>
    <d v="2019-01-21T00:00:00"/>
  </r>
  <r>
    <n v="1900004171"/>
    <d v="2019-11-26T00:00:00"/>
    <s v="Fees"/>
    <s v="Ahmedabad"/>
    <s v="Global Client Network (GNB Inward)"/>
    <n v="4"/>
    <s v="Gilbert"/>
    <x v="1"/>
    <s v="Mohit Gupta"/>
    <m/>
    <n v="254336"/>
    <d v="2019-01-25T00:00:00"/>
  </r>
  <r>
    <n v="1900004173"/>
    <d v="2019-11-26T00:00:00"/>
    <s v="Fees"/>
    <s v="Ahmedabad"/>
    <s v="Global Client Network (GNB Inward)"/>
    <n v="4"/>
    <s v="Gilbert"/>
    <x v="1"/>
    <s v="Amit Arora"/>
    <m/>
    <n v="266949"/>
    <d v="2019-01-25T00:00:00"/>
  </r>
  <r>
    <n v="1900004220"/>
    <d v="2019-12-03T00:00:00"/>
    <s v="Brokerage"/>
    <s v="Ahmedabad"/>
    <s v="Employee Benefits (EB)"/>
    <n v="6"/>
    <s v="Ketan Jain"/>
    <x v="1"/>
    <s v="Nikita Pandit"/>
    <n v="54445288"/>
    <n v="11111"/>
    <d v="2019-02-28T00:00:00"/>
  </r>
  <r>
    <n v="1900004221"/>
    <d v="2019-12-03T00:00:00"/>
    <s v="Brokerage"/>
    <s v="Ahmedabad"/>
    <s v="Construction, Power &amp; Infrastructure"/>
    <n v="3"/>
    <s v="Animesh Rawat"/>
    <x v="2"/>
    <s v="Vikas Gupta"/>
    <n v="9.9000044190299996E+19"/>
    <n v="3008"/>
    <d v="2019-04-12T00:00:00"/>
  </r>
  <r>
    <n v="1900004376"/>
    <d v="2019-12-05T00:00:00"/>
    <s v="Brokerage"/>
    <s v="Ahmedabad"/>
    <s v="Liability"/>
    <n v="3"/>
    <s v="Animesh Rawat"/>
    <x v="2"/>
    <s v="Kamlesh Pillai"/>
    <n v="43193940"/>
    <n v="6184"/>
    <d v="2019-08-07T00:00:00"/>
  </r>
  <r>
    <n v="1900004378"/>
    <d v="2019-12-05T00:00:00"/>
    <s v="Brokerage"/>
    <s v="Ahmedabad"/>
    <s v="Property / BI"/>
    <n v="5"/>
    <s v="Juli"/>
    <x v="0"/>
    <s v="Umesh Agarwal"/>
    <s v="YB00020403000100"/>
    <n v="1568"/>
    <d v="2019-02-08T00:00:00"/>
  </r>
  <r>
    <n v="1900004380"/>
    <d v="2019-12-05T00:00:00"/>
    <s v="Brokerage"/>
    <s v="Ahmedabad"/>
    <s v="Employee Benefits (EB)"/>
    <n v="6"/>
    <s v="Ketan Jain"/>
    <x v="2"/>
    <s v="Ankur Gandhi"/>
    <s v="H0048996"/>
    <n v="18901"/>
    <d v="2019-09-14T00:00:00"/>
  </r>
  <r>
    <n v="1900004382"/>
    <d v="2019-12-05T00:00:00"/>
    <s v="Brokerage"/>
    <s v="Ahmedabad"/>
    <s v="Employee Benefits (EB)"/>
    <n v="6"/>
    <s v="Ketan Jain"/>
    <x v="0"/>
    <s v="Dinesh Kaul"/>
    <s v="H0048996"/>
    <n v="27682"/>
    <d v="2019-08-14T00:00:00"/>
  </r>
  <r>
    <n v="1900004383"/>
    <d v="2019-12-05T00:00:00"/>
    <s v="Brokerage"/>
    <s v="Ahmedabad"/>
    <s v="Employee Benefits (EB)"/>
    <n v="6"/>
    <s v="Ketan Jain"/>
    <x v="2"/>
    <s v="Ankur Naik"/>
    <s v="H0067187"/>
    <n v="5501"/>
    <d v="2019-10-21T00:00:00"/>
  </r>
  <r>
    <n v="1900004384"/>
    <d v="2019-12-05T00:00:00"/>
    <s v="Brokerage"/>
    <s v="Ahmedabad"/>
    <s v="Employee Benefits (EB)"/>
    <n v="6"/>
    <s v="Ketan Jain"/>
    <x v="1"/>
    <s v="Alex Johnson"/>
    <s v="4016 138636598 02 000"/>
    <n v="123750"/>
    <d v="2019-09-30T00:00:00"/>
  </r>
  <r>
    <n v="1900004404"/>
    <d v="2019-12-06T00:00:00"/>
    <s v="Brokerage"/>
    <s v="Ahmedabad"/>
    <s v="Global Client Network (GNB Inward)"/>
    <n v="4"/>
    <s v="Gilbert"/>
    <x v="1"/>
    <s v="Emily Thompson"/>
    <s v="OG-20-2202-0425-00000017"/>
    <n v="825"/>
    <d v="2019-07-01T00:00:00"/>
  </r>
  <r>
    <n v="1900004408"/>
    <d v="2019-12-06T00:00:00"/>
    <s v="Brokerage"/>
    <s v="Ahmedabad"/>
    <s v="Global Client Network (GNB Inward)"/>
    <n v="4"/>
    <s v="Gilbert"/>
    <x v="1"/>
    <s v="Liam Smith"/>
    <s v="OG-20-2202-9931-00032558"/>
    <n v="1556"/>
    <d v="2019-07-01T00:00:00"/>
  </r>
  <r>
    <n v="1900004411"/>
    <d v="2019-12-06T00:00:00"/>
    <s v="Brokerage"/>
    <s v="Ahmedabad"/>
    <s v="Global Client Network (GNB Inward)"/>
    <n v="4"/>
    <s v="Gilbert"/>
    <x v="1"/>
    <s v="Ava Davis"/>
    <s v="OG-20-2202-4004-00000064"/>
    <n v="12350"/>
    <d v="2019-07-01T00:00:00"/>
  </r>
  <r>
    <n v="1900004474"/>
    <d v="2019-12-09T00:00:00"/>
    <s v="Brokerage"/>
    <s v="Ahmedabad"/>
    <s v="Marine"/>
    <n v="3"/>
    <s v="Animesh Rawat"/>
    <x v="2"/>
    <s v="Noah Wilson"/>
    <s v="2412 2020 7182 9001 000"/>
    <n v="15593"/>
    <d v="2019-01-12T00:00:00"/>
  </r>
  <r>
    <n v="1900004500"/>
    <d v="2019-12-09T00:00:00"/>
    <s v="Brokerage"/>
    <s v="Ahmedabad"/>
    <s v="Construction, Power &amp; Infrastructure"/>
    <n v="3"/>
    <s v="Animesh Rawat"/>
    <x v="2"/>
    <s v="Olivia Brown"/>
    <n v="9.9000044190300006E+17"/>
    <n v="2212"/>
    <d v="2019-04-10T00:00:00"/>
  </r>
  <r>
    <n v="1900004501"/>
    <d v="2019-12-09T00:00:00"/>
    <s v="Brokerage"/>
    <s v="Ahmedabad"/>
    <s v="Employee Benefits (EB)"/>
    <n v="3"/>
    <s v="Animesh Rawat"/>
    <x v="2"/>
    <s v="William Martinez"/>
    <n v="54522170"/>
    <n v="9056"/>
    <d v="2019-07-09T00:00:00"/>
  </r>
  <r>
    <n v="1900004503"/>
    <d v="2019-12-10T00:00:00"/>
    <s v="Brokerage"/>
    <s v="Ahmedabad"/>
    <s v="Global Client Network (GNB Inward)"/>
    <n v="4"/>
    <s v="Gilbert"/>
    <x v="1"/>
    <s v="Sophia Garcia"/>
    <s v="OG-20-2202-3304-00000009"/>
    <n v="1897"/>
    <d v="2019-07-01T00:00:00"/>
  </r>
  <r>
    <n v="1900004505"/>
    <d v="2019-12-10T00:00:00"/>
    <s v="Brokerage"/>
    <s v="Ahmedabad"/>
    <s v="Global Client Network (GNB Inward)"/>
    <n v="4"/>
    <s v="Gilbert"/>
    <x v="1"/>
    <s v="James Miller"/>
    <s v="OG-20-2202-3383-00000002"/>
    <n v="42500"/>
    <d v="2019-07-01T00:00:00"/>
  </r>
  <r>
    <n v="1900004507"/>
    <d v="2019-12-10T00:00:00"/>
    <s v="Brokerage"/>
    <s v="Ahmedabad"/>
    <s v="Global Client Network (GNB Inward)"/>
    <n v="4"/>
    <s v="Gilbert"/>
    <x v="1"/>
    <s v="Mia Rodriguez"/>
    <s v="OG-20-2202-4002-00000010"/>
    <n v="10917"/>
    <d v="2019-07-01T00:00:00"/>
  </r>
  <r>
    <n v="1900004518"/>
    <d v="2019-12-10T00:00:00"/>
    <s v="Brokerage"/>
    <s v="Ahmedabad"/>
    <s v="Global Client Network (GNB Inward)"/>
    <n v="4"/>
    <s v="Gilbert"/>
    <x v="1"/>
    <s v="Benjamin Anderson"/>
    <s v="OG-20-2202-4010-00000869"/>
    <n v="3375"/>
    <d v="2019-07-01T00:00:00"/>
  </r>
  <r>
    <n v="1900004535"/>
    <d v="2019-12-10T00:00:00"/>
    <s v="Fees"/>
    <s v="Ahmedabad"/>
    <s v="Global Client Network (GNB Inward)"/>
    <n v="4"/>
    <s v="Gilbert"/>
    <x v="1"/>
    <s v="Charlotte Taylor"/>
    <s v="1011/142530053/01/000"/>
    <n v="320175"/>
    <d v="2019-12-06T00:00:00"/>
  </r>
  <r>
    <n v="1900004535"/>
    <d v="2019-12-10T00:00:00"/>
    <s v="Fees"/>
    <s v="Ahmedabad"/>
    <s v="Global Client Network (GNB Inward)"/>
    <n v="4"/>
    <s v="Gilbert"/>
    <x v="1"/>
    <s v="Lucas Hernandez"/>
    <n v="3.1242015891005998E+18"/>
    <n v="320175"/>
    <d v="2019-12-06T00:00:00"/>
  </r>
  <r>
    <n v="1900004535"/>
    <d v="2019-12-10T00:00:00"/>
    <s v="Fees"/>
    <s v="Ahmedabad"/>
    <s v="Global Client Network (GNB Inward)"/>
    <n v="4"/>
    <s v="Gilbert"/>
    <x v="1"/>
    <s v="Amelia Moore"/>
    <s v="OG-19-2202-1018-00000052"/>
    <n v="320175"/>
    <d v="2019-12-06T00:00:00"/>
  </r>
  <r>
    <n v="1900004538"/>
    <d v="2019-12-10T00:00:00"/>
    <s v="Fees"/>
    <s v="Ahmedabad"/>
    <s v="Global Client Network (GNB Inward)"/>
    <n v="4"/>
    <s v="Gilbert"/>
    <x v="1"/>
    <s v="Henry Thomas"/>
    <s v="OG-20-2202-3315-00000009"/>
    <n v="168593"/>
    <d v="2019-05-28T00:00:00"/>
  </r>
  <r>
    <n v="1900004538"/>
    <d v="2019-12-10T00:00:00"/>
    <s v="Fees"/>
    <s v="Ahmedabad"/>
    <s v="Global Client Network (GNB Inward)"/>
    <n v="4"/>
    <s v="Gilbert"/>
    <x v="1"/>
    <s v="Harper Martin"/>
    <s v="P0019200001/9999/100301"/>
    <n v="168593"/>
    <d v="2019-05-28T00:00:00"/>
  </r>
  <r>
    <n v="1900004894"/>
    <d v="2019-12-19T00:00:00"/>
    <s v="Brokerage"/>
    <s v="Ahmedabad"/>
    <s v="Global Client Network (GNB Inward)"/>
    <n v="4"/>
    <s v="Gilbert"/>
    <x v="1"/>
    <s v="Alexander Jackson"/>
    <n v="43196279"/>
    <n v="2970"/>
    <d v="2019-09-22T00:00:00"/>
  </r>
  <r>
    <n v="1900004898"/>
    <d v="2019-12-19T00:00:00"/>
    <s v="Brokerage"/>
    <s v="Ahmedabad"/>
    <s v="Global Client Network (GNB Inward)"/>
    <n v="1"/>
    <s v="Vinay"/>
    <x v="2"/>
    <s v="Ella White"/>
    <n v="3.1142029633600998E+18"/>
    <n v="7022"/>
    <d v="2019-08-26T00:00:00"/>
  </r>
  <r>
    <n v="1900004909"/>
    <d v="2019-12-19T00:00:00"/>
    <s v="Brokerage"/>
    <s v="Ahmedabad"/>
    <s v="Global Client Network (GNB Inward)"/>
    <n v="4"/>
    <s v="Gilbert"/>
    <x v="1"/>
    <s v="Michael Lee"/>
    <s v="0301004728-2019"/>
    <n v="202350"/>
    <d v="2019-09-30T00:00:00"/>
  </r>
  <r>
    <n v="1900004912"/>
    <d v="2019-12-19T00:00:00"/>
    <s v="Brokerage"/>
    <s v="Ahmedabad"/>
    <s v="Global Client Network (GNB Inward)"/>
    <n v="1"/>
    <s v="Vinay"/>
    <x v="2"/>
    <s v="Grace Harris"/>
    <n v="3.213400201191E+23"/>
    <n v="87500"/>
    <d v="2019-07-31T00:00:00"/>
  </r>
  <r>
    <n v="1900004917"/>
    <d v="2019-12-19T00:00:00"/>
    <s v="Brokerage"/>
    <s v="Ahmedabad"/>
    <s v="Global Client Network (GNB Inward)"/>
    <n v="1"/>
    <s v="Vinay"/>
    <x v="2"/>
    <s v="Daniel Clark"/>
    <n v="22515779"/>
    <n v="44260"/>
    <d v="2019-09-30T00:00:00"/>
  </r>
  <r>
    <n v="1900004919"/>
    <d v="2019-12-19T00:00:00"/>
    <s v="Brokerage"/>
    <s v="Ahmedabad"/>
    <s v="Property / BI"/>
    <n v="5"/>
    <s v="Juli"/>
    <x v="0"/>
    <s v="Scarlett Lewis"/>
    <n v="9.9000046190100005E+19"/>
    <n v="11550"/>
    <d v="2019-09-08T00:00:00"/>
  </r>
  <r>
    <n v="1900004920"/>
    <d v="2019-12-19T00:00:00"/>
    <s v="Brokerage"/>
    <s v="Ahmedabad"/>
    <s v="Small Medium Enterpries (SME)"/>
    <n v="5"/>
    <s v="Juli"/>
    <x v="0"/>
    <s v="Matthew Walker"/>
    <n v="9.90000111903E+19"/>
    <n v="43033"/>
    <d v="2019-09-08T00:00:00"/>
  </r>
  <r>
    <n v="1900004922"/>
    <d v="2019-12-19T00:00:00"/>
    <s v="Brokerage"/>
    <s v="Ahmedabad"/>
    <s v="Property / BI"/>
    <n v="5"/>
    <s v="Juli"/>
    <x v="0"/>
    <s v="Madison Robinson"/>
    <n v="9.9000046190100005E+19"/>
    <n v="7700"/>
    <d v="2019-09-08T00:00:00"/>
  </r>
  <r>
    <n v="1900004923"/>
    <d v="2019-12-19T00:00:00"/>
    <s v="Brokerage"/>
    <s v="Ahmedabad"/>
    <s v="Small Medium Enterpries (SME)"/>
    <n v="5"/>
    <s v="Juli"/>
    <x v="0"/>
    <s v="David Hall"/>
    <n v="9.90000111903E+19"/>
    <n v="72139"/>
    <d v="2019-09-08T00:00:00"/>
  </r>
  <r>
    <n v="1900004928"/>
    <d v="2019-12-19T00:00:00"/>
    <s v="Brokerage"/>
    <s v="Ahmedabad"/>
    <s v="Construction, Power &amp; Infrastructure"/>
    <n v="3"/>
    <s v="Animesh Rawat"/>
    <x v="2"/>
    <s v="Lily Young"/>
    <n v="9.9000044190299996E+19"/>
    <n v="32585"/>
    <d v="2019-09-11T00:00:00"/>
  </r>
  <r>
    <n v="1900004933"/>
    <d v="2019-12-19T00:00:00"/>
    <s v="Brokerage"/>
    <s v="Ahmedabad"/>
    <s v="Construction, Power &amp; Infrastructure"/>
    <n v="3"/>
    <s v="Animesh Rawat"/>
    <x v="2"/>
    <s v="Samuel Allen"/>
    <n v="9.9000044190299996E+19"/>
    <n v="8045"/>
    <d v="2019-09-22T00:00:00"/>
  </r>
  <r>
    <n v="1900004983"/>
    <d v="2019-12-19T00:00:00"/>
    <s v="Brokerage"/>
    <s v="Ahmedabad"/>
    <s v="Global Client Network (GNB Inward)"/>
    <n v="4"/>
    <s v="Gilbert"/>
    <x v="1"/>
    <s v="Chloe King"/>
    <s v="0000000010619837-01"/>
    <n v="26968"/>
    <d v="2019-10-25T00:00:00"/>
  </r>
  <r>
    <n v="1900004984"/>
    <d v="2019-12-19T00:00:00"/>
    <s v="Brokerage"/>
    <s v="Ahmedabad"/>
    <s v="Global Client Network (GNB Inward)"/>
    <n v="4"/>
    <s v="Gilbert"/>
    <x v="1"/>
    <s v="Joseph Scott"/>
    <s v="0000000007404252-02"/>
    <n v="2437"/>
    <d v="2019-10-26T00:00:00"/>
  </r>
  <r>
    <n v="1900004985"/>
    <d v="2019-12-19T00:00:00"/>
    <s v="Brokerage"/>
    <s v="Ahmedabad"/>
    <s v="Global Client Network (GNB Inward)"/>
    <n v="4"/>
    <s v="Gilbert"/>
    <x v="1"/>
    <s v="Evelyn Wright"/>
    <s v="OG-19-2202-1018-00000052"/>
    <n v="53278"/>
    <d v="2019-01-01T00:00:00"/>
  </r>
  <r>
    <n v="1900004986"/>
    <d v="2019-12-19T00:00:00"/>
    <s v="Brokerage"/>
    <s v="Ahmedabad"/>
    <s v="Global Client Network (GNB Inward)"/>
    <n v="4"/>
    <s v="Gilbert"/>
    <x v="1"/>
    <s v="Andrew Adams"/>
    <s v="OG-19-2202-3383-00000007"/>
    <n v="30048"/>
    <d v="2019-01-01T00:00:00"/>
  </r>
  <r>
    <n v="1900004987"/>
    <d v="2019-12-19T00:00:00"/>
    <s v="Brokerage"/>
    <s v="Ahmedabad"/>
    <s v="Global Client Network (GNB Inward)"/>
    <n v="4"/>
    <s v="Gilbert"/>
    <x v="1"/>
    <s v="Aria Baker"/>
    <n v="3.1142029974272998E+18"/>
    <n v="12500"/>
    <d v="2019-09-19T00:00:00"/>
  </r>
  <r>
    <n v="1900005036"/>
    <d v="2019-12-20T00:00:00"/>
    <s v="Brokerage"/>
    <s v="Ahmedabad"/>
    <s v="Global Client Network (GNB Inward)"/>
    <n v="1"/>
    <s v="Vinay"/>
    <x v="2"/>
    <s v="Christopher Campbell"/>
    <s v="ER00004563000100"/>
    <n v="3854"/>
    <d v="2019-04-30T00:00:00"/>
  </r>
  <r>
    <n v="1900005300"/>
    <d v="2019-12-24T00:00:00"/>
    <s v="Fees"/>
    <s v="Ahmedabad"/>
    <s v="Global Client Network (GNB Inward)"/>
    <n v="4"/>
    <s v="Gilbert"/>
    <x v="1"/>
    <s v="Zoe Rivera"/>
    <n v="304003763"/>
    <n v="132392"/>
    <d v="2019-12-20T00:00:00"/>
  </r>
  <r>
    <n v="1900005300"/>
    <d v="2019-12-24T00:00:00"/>
    <s v="Fees"/>
    <s v="Ahmedabad"/>
    <s v="Global Client Network (GNB Inward)"/>
    <n v="4"/>
    <s v="Gilbert"/>
    <x v="1"/>
    <s v="Anthony Mitchell"/>
    <s v="1003/126704810/02/000"/>
    <n v="132392"/>
    <d v="2019-12-20T00:00:00"/>
  </r>
  <r>
    <n v="1900005300"/>
    <d v="2019-12-24T00:00:00"/>
    <s v="Fees"/>
    <s v="Ahmedabad"/>
    <s v="Global Client Network (GNB Inward)"/>
    <n v="4"/>
    <s v="Gilbert"/>
    <x v="1"/>
    <s v="Mila Flores"/>
    <n v="2.4142020928135997E+18"/>
    <n v="132392"/>
    <d v="2019-12-20T00:00:00"/>
  </r>
  <r>
    <n v="1900005300"/>
    <d v="2019-12-24T00:00:00"/>
    <s v="Fees"/>
    <s v="Ahmedabad"/>
    <s v="Global Client Network (GNB Inward)"/>
    <n v="4"/>
    <s v="Gilbert"/>
    <x v="1"/>
    <s v="Joshua Roberts"/>
    <s v="4092/151965577/01/000"/>
    <n v="132392"/>
    <d v="2019-12-20T00:00:00"/>
  </r>
  <r>
    <n v="1900005324"/>
    <d v="2019-12-24T00:00:00"/>
    <s v="Brokerage"/>
    <s v="Ahmedabad"/>
    <s v="Construction, Power &amp; Infrastructure"/>
    <n v="3"/>
    <s v="Animesh Rawat"/>
    <x v="2"/>
    <s v="Nora Sanders"/>
    <n v="9.9000044190299996E+19"/>
    <n v="26805"/>
    <d v="2019-11-19T00:00:00"/>
  </r>
  <r>
    <n v="1900005325"/>
    <d v="2019-12-24T00:00:00"/>
    <s v="Brokerage"/>
    <s v="Ahmedabad"/>
    <s v="Employee Benefits (EB)"/>
    <n v="5"/>
    <s v="Juli"/>
    <x v="1"/>
    <s v="Ryan Murphy"/>
    <n v="43191791"/>
    <n v="956"/>
    <d v="2019-07-03T00:00:00"/>
  </r>
  <r>
    <n v="1900005329"/>
    <d v="2019-12-24T00:00:00"/>
    <s v="Brokerage"/>
    <s v="Ahmedabad"/>
    <s v="Global Client Network (GNB Inward)"/>
    <n v="1"/>
    <s v="Vinay"/>
    <x v="2"/>
    <s v="Ellie Patterson"/>
    <n v="3.1142029634361999E+18"/>
    <n v="2089"/>
    <d v="2019-08-26T00:00:00"/>
  </r>
  <r>
    <n v="1900005331"/>
    <d v="2019-12-24T00:00:00"/>
    <s v="Brokerage"/>
    <s v="Ahmedabad"/>
    <s v="Global Client Network (GNB Inward)"/>
    <n v="4"/>
    <s v="Gilbert"/>
    <x v="1"/>
    <s v="Ethan Hughes"/>
    <s v="OG-20-2202-1005-00000171-2019"/>
    <n v="8580"/>
    <d v="2019-09-21T00:00:00"/>
  </r>
  <r>
    <n v="1900005394"/>
    <d v="2019-12-25T00:00:00"/>
    <s v="Brokerage"/>
    <s v="Ahmedabad"/>
    <s v="Global Client Network (GNB Inward)"/>
    <n v="4"/>
    <s v="Gilbert"/>
    <x v="1"/>
    <s v="Layla Price"/>
    <s v="OG-20-2202-4004-00000062"/>
    <n v="60713"/>
    <d v="2019-07-01T00:00:00"/>
  </r>
  <r>
    <n v="1900005395"/>
    <d v="2019-12-25T00:00:00"/>
    <s v="Brokerage"/>
    <s v="Ahmedabad"/>
    <s v="Marine"/>
    <n v="4"/>
    <s v="Gilbert"/>
    <x v="1"/>
    <s v="Elijah Cox"/>
    <n v="22531899"/>
    <n v="50160"/>
    <d v="2019-10-27T00:00:00"/>
  </r>
  <r>
    <n v="1900005396"/>
    <d v="2019-12-25T00:00:00"/>
    <s v="Brokerage"/>
    <s v="Ahmedabad"/>
    <s v="Global Client Network (GNB Inward)"/>
    <n v="4"/>
    <s v="Gilbert"/>
    <x v="1"/>
    <s v="Penelope Butler"/>
    <s v="OG-19-2202-1018-00000047"/>
    <n v="71765"/>
    <d v="2019-10-26T00:00:00"/>
  </r>
  <r>
    <n v="1900005439"/>
    <d v="2019-12-25T00:00:00"/>
    <s v="Brokerage"/>
    <s v="Ahmedabad"/>
    <s v="Construction, Power &amp; Infrastructure"/>
    <n v="13"/>
    <s v="Vidit Shah"/>
    <x v="2"/>
    <s v="Sebastian Long"/>
    <s v="'99000044180300000048"/>
    <n v="62399"/>
    <d v="2019-11-14T00:00:00"/>
  </r>
  <r>
    <n v="1900005516"/>
    <d v="2019-12-26T00:00:00"/>
    <s v="Brokerage"/>
    <s v="Ahmedabad"/>
    <s v="Liability"/>
    <n v="10"/>
    <s v="Mark"/>
    <x v="2"/>
    <s v="Riley Brooks"/>
    <n v="2280014070"/>
    <n v="27530"/>
    <d v="2019-03-09T00:00:00"/>
  </r>
  <r>
    <n v="1900005526"/>
    <d v="2019-12-26T00:00:00"/>
    <s v="Brokerage"/>
    <s v="Ahmedabad"/>
    <s v="Employee Benefits (EB)"/>
    <n v="6"/>
    <s v="Ketan Jain"/>
    <x v="1"/>
    <s v="Jack Richardson"/>
    <s v="180876-0000-01"/>
    <n v="60000"/>
    <d v="2019-04-01T00:00:00"/>
  </r>
  <r>
    <n v="1900005527"/>
    <d v="2019-12-26T00:00:00"/>
    <s v="Brokerage"/>
    <s v="Ahmedabad"/>
    <s v="Global Client Network (GNB Inward)"/>
    <n v="4"/>
    <s v="Gilbert"/>
    <x v="1"/>
    <s v="Lily Wood"/>
    <n v="1.203004619248E+19"/>
    <n v="77400"/>
    <d v="2019-08-10T00:00:00"/>
  </r>
  <r>
    <n v="1900005528"/>
    <d v="2019-12-26T00:00:00"/>
    <s v="Brokerage"/>
    <s v="Ahmedabad"/>
    <s v="Global Client Network (GNB Inward)"/>
    <n v="4"/>
    <s v="Gilbert"/>
    <x v="1"/>
    <s v="Dylan Stewart"/>
    <n v="1.203004619248E+19"/>
    <n v="302812"/>
    <d v="2019-08-10T00:00:00"/>
  </r>
  <r>
    <n v="1900005529"/>
    <d v="2019-12-26T00:00:00"/>
    <s v="Brokerage"/>
    <s v="Ahmedabad"/>
    <s v="Property / BI"/>
    <n v="13"/>
    <s v="Vidit Shah"/>
    <x v="1"/>
    <s v="Audrey Morgan"/>
    <s v="'0655001664 03"/>
    <n v="275569"/>
    <d v="2019-03-01T00:00:00"/>
  </r>
  <r>
    <n v="1900005530"/>
    <d v="2019-12-26T00:00:00"/>
    <s v="Brokerage"/>
    <s v="Ahmedabad"/>
    <s v="Liability"/>
    <n v="13"/>
    <s v="Vidit Shah"/>
    <x v="1"/>
    <s v="Luke Barnes"/>
    <s v="'0304001755"/>
    <n v="320000"/>
    <d v="2019-01-31T00:00:00"/>
  </r>
  <r>
    <n v="1900005531"/>
    <d v="2019-12-26T00:00:00"/>
    <s v="Brokerage"/>
    <s v="Ahmedabad"/>
    <s v="Employee Benefits (EB)"/>
    <n v="6"/>
    <s v="Ketan Jain"/>
    <x v="1"/>
    <s v="Bella Sanchez"/>
    <n v="3393"/>
    <n v="114752"/>
    <d v="2019-11-01T00:00:00"/>
  </r>
  <r>
    <n v="1900005532"/>
    <d v="2019-12-26T00:00:00"/>
    <s v="Brokerage"/>
    <s v="Ahmedabad"/>
    <s v="Employee Benefits (EB)"/>
    <n v="6"/>
    <s v="Ketan Jain"/>
    <x v="0"/>
    <s v="Mason Bell"/>
    <s v="H0056637"/>
    <n v="49027"/>
    <d v="2019-02-04T00:00:00"/>
  </r>
  <r>
    <n v="1900005555"/>
    <d v="2019-12-26T00:00:00"/>
    <s v="Brokerage"/>
    <s v="Ahmedabad"/>
    <s v="Construction, Power &amp; Infrastructure"/>
    <n v="13"/>
    <s v="Vidit Shah"/>
    <x v="2"/>
    <s v="Lillian Parker"/>
    <s v="'99000044180300000078"/>
    <n v="153332"/>
    <d v="2019-10-19T00:00:00"/>
  </r>
  <r>
    <n v="1900005760"/>
    <d v="2019-12-28T00:00:00"/>
    <s v="Brokerage"/>
    <s v="Ahmedabad"/>
    <s v="Marine"/>
    <n v="5"/>
    <s v="Juli"/>
    <x v="0"/>
    <s v="Owen Reed"/>
    <n v="2.4142027811737001E+18"/>
    <n v="23591"/>
    <d v="2019-05-01T00:00:00"/>
  </r>
  <r>
    <n v="1900005761"/>
    <d v="2019-12-28T00:00:00"/>
    <s v="Brokerage"/>
    <s v="Ahmedabad"/>
    <s v="Global Client Network (GNB Inward)"/>
    <n v="4"/>
    <s v="Gilbert"/>
    <x v="1"/>
    <s v="Sadie Jenkins"/>
    <s v="OG-20-2202-3315-00000012"/>
    <n v="19181"/>
    <d v="2019-08-02T00:00:00"/>
  </r>
  <r>
    <n v="1900005767"/>
    <d v="2019-12-28T00:00:00"/>
    <s v="Brokerage"/>
    <s v="Ahmedabad"/>
    <s v="Small Medium Enterpries (SME)"/>
    <n v="5"/>
    <s v="Juli"/>
    <x v="0"/>
    <s v="Gabriel Cooper"/>
    <n v="2.3060011180300001E+19"/>
    <n v="8228"/>
    <d v="2019-02-28T00:00:00"/>
  </r>
  <r>
    <n v="1900005768"/>
    <d v="2019-12-28T00:00:00"/>
    <s v="Brokerage"/>
    <s v="Ahmedabad"/>
    <s v="Small Medium Enterpries (SME)"/>
    <n v="5"/>
    <s v="Juli"/>
    <x v="2"/>
    <s v="Aubrey Coleman"/>
    <n v="2.3060011180300001E+19"/>
    <n v="5241"/>
    <d v="2019-07-12T00:00:00"/>
  </r>
  <r>
    <n v="1900005769"/>
    <d v="2019-12-28T00:00:00"/>
    <s v="Brokerage"/>
    <s v="Ahmedabad"/>
    <s v="Small Medium Enterpries (SME)"/>
    <n v="5"/>
    <s v="Juli"/>
    <x v="2"/>
    <s v="Aiden Bailey"/>
    <n v="9.9000046190799995E+19"/>
    <n v="13154"/>
    <d v="2019-10-10T00:00:00"/>
  </r>
  <r>
    <n v="1900005770"/>
    <d v="2019-12-28T00:00:00"/>
    <s v="Brokerage"/>
    <s v="Ahmedabad"/>
    <s v="Small Medium Enterpries (SME)"/>
    <n v="5"/>
    <s v="Juli"/>
    <x v="0"/>
    <s v="Hannah Evans"/>
    <n v="9.9000046190799995E+19"/>
    <n v="14461"/>
    <d v="2019-09-08T00:00:00"/>
  </r>
  <r>
    <n v="1900005771"/>
    <d v="2019-12-28T00:00:00"/>
    <s v="Brokerage"/>
    <s v="Ahmedabad"/>
    <s v="Global Client Network (GNB Inward)"/>
    <n v="4"/>
    <s v="Gilbert"/>
    <x v="1"/>
    <s v="Isaac Morris"/>
    <s v="2019-L0138835-FWC"/>
    <n v="2853"/>
    <d v="2019-06-23T00:00:00"/>
  </r>
  <r>
    <n v="1900005772"/>
    <d v="2019-12-28T00:00:00"/>
    <s v="Brokerage"/>
    <s v="Ahmedabad"/>
    <s v="Global Client Network (GNB Inward)"/>
    <n v="4"/>
    <s v="Gilbert"/>
    <x v="1"/>
    <s v="Mila Carter"/>
    <s v="2019-L0139704-PBL"/>
    <n v="495"/>
    <d v="2019-06-23T00:00:00"/>
  </r>
  <r>
    <n v="1900005773"/>
    <d v="2019-12-28T00:00:00"/>
    <s v="Brokerage"/>
    <s v="Ahmedabad"/>
    <s v="Global Client Network (GNB Inward)"/>
    <n v="4"/>
    <s v="Gilbert"/>
    <x v="1"/>
    <s v="Logan Kelly"/>
    <s v="2018-F0513845-BSS"/>
    <n v="5891"/>
    <d v="2019-02-04T00:00:00"/>
  </r>
  <r>
    <n v="1900005774"/>
    <d v="2019-12-28T00:00:00"/>
    <s v="Brokerage"/>
    <s v="Ahmedabad"/>
    <s v="Property / BI"/>
    <n v="3"/>
    <s v="Animesh Rawat"/>
    <x v="2"/>
    <s v="Camila Howard"/>
    <s v="OG-20-2202-4004-00000043"/>
    <n v="4596"/>
    <d v="2019-05-16T00:00:00"/>
  </r>
  <r>
    <n v="1900005775"/>
    <d v="2019-12-28T00:00:00"/>
    <s v="Brokerage"/>
    <s v="Ahmedabad"/>
    <s v="Construction, Power &amp; Infrastructure"/>
    <n v="3"/>
    <s v="Animesh Rawat"/>
    <x v="2"/>
    <s v="Jayden Hughes"/>
    <n v="9.9000044180300005E+19"/>
    <n v="21443"/>
    <d v="2019-07-03T00:00:00"/>
  </r>
  <r>
    <n v="1900005776"/>
    <d v="2019-12-28T00:00:00"/>
    <s v="Brokerage"/>
    <s v="Ahmedabad"/>
    <s v="Construction, Power &amp; Infrastructure"/>
    <n v="3"/>
    <s v="Animesh Rawat"/>
    <x v="2"/>
    <s v="Savannah Ward"/>
    <n v="9.9000044180300005E+19"/>
    <n v="21442"/>
    <d v="2019-10-20T00:00:00"/>
  </r>
  <r>
    <n v="1900005777"/>
    <d v="2019-12-28T00:00:00"/>
    <s v="Brokerage"/>
    <s v="Ahmedabad"/>
    <s v="Construction, Power &amp; Infrastructure"/>
    <n v="3"/>
    <s v="Animesh Rawat"/>
    <x v="2"/>
    <s v="Caleb Bryant"/>
    <n v="9.9000044180300005E+19"/>
    <n v="21443"/>
    <d v="2019-03-16T00:00:00"/>
  </r>
  <r>
    <n v="1900005778"/>
    <d v="2019-12-28T00:00:00"/>
    <s v="Brokerage"/>
    <s v="Ahmedabad"/>
    <s v="Construction, Power &amp; Infrastructure"/>
    <n v="3"/>
    <s v="Animesh Rawat"/>
    <x v="2"/>
    <s v="Zoe Fisher"/>
    <n v="9.9000044180300005E+19"/>
    <n v="17949"/>
    <d v="2019-07-03T00:00:00"/>
  </r>
  <r>
    <n v="1900005779"/>
    <d v="2019-12-28T00:00:00"/>
    <s v="Brokerage"/>
    <s v="Ahmedabad"/>
    <s v="Construction, Power &amp; Infrastructure"/>
    <n v="3"/>
    <s v="Animesh Rawat"/>
    <x v="2"/>
    <s v="Nathan Martinez"/>
    <n v="9.9000044180300005E+19"/>
    <n v="17949"/>
    <d v="2019-03-16T00:00:00"/>
  </r>
  <r>
    <n v="1900005780"/>
    <d v="2019-12-28T00:00:00"/>
    <s v="Brokerage"/>
    <s v="Ahmedabad"/>
    <s v="Property / BI"/>
    <n v="5"/>
    <s v="Juli"/>
    <x v="0"/>
    <s v="Addison Henderson"/>
    <s v="PFS/I3353707/71/01/006343"/>
    <n v="7889"/>
    <d v="2019-01-12T00:00:00"/>
  </r>
  <r>
    <n v="1900005781"/>
    <d v="2019-12-28T00:00:00"/>
    <s v="Brokerage"/>
    <s v="Ahmedabad"/>
    <s v="Liability"/>
    <n v="3"/>
    <s v="Animesh Rawat"/>
    <x v="2"/>
    <s v="Hunter Collins"/>
    <n v="3.1142031258438999E+18"/>
    <n v="8198"/>
    <d v="2019-10-25T00:00:00"/>
  </r>
  <r>
    <n v="1900005782"/>
    <d v="2019-12-28T00:00:00"/>
    <s v="Brokerage"/>
    <s v="Ahmedabad"/>
    <s v="Employee Benefits (EB)"/>
    <n v="6"/>
    <s v="Ketan Jain"/>
    <x v="0"/>
    <s v="Paisley Price"/>
    <s v="H0048996"/>
    <n v="18697"/>
    <d v="2019-03-11T00:00:00"/>
  </r>
  <r>
    <n v="1900005783"/>
    <d v="2019-12-28T00:00:00"/>
    <s v="Brokerage"/>
    <s v="Ahmedabad"/>
    <s v="Employee Benefits (EB)"/>
    <n v="6"/>
    <s v="Ketan Jain"/>
    <x v="0"/>
    <s v="Julian Hayes"/>
    <s v="H0048996"/>
    <n v="17140"/>
    <d v="2019-10-11T00:00:00"/>
  </r>
  <r>
    <n v="1900005784"/>
    <d v="2019-12-28T00:00:00"/>
    <s v="Brokerage"/>
    <s v="Ahmedabad"/>
    <s v="Employee Benefits (EB)"/>
    <n v="6"/>
    <s v="Ketan Jain"/>
    <x v="0"/>
    <s v="Bella Gonzales"/>
    <s v="H0048996"/>
    <n v="8561"/>
    <d v="2019-11-14T00:00:00"/>
  </r>
  <r>
    <n v="1900005785"/>
    <d v="2019-12-28T00:00:00"/>
    <s v="Brokerage"/>
    <s v="Ahmedabad"/>
    <s v="Liability"/>
    <n v="5"/>
    <s v="Juli"/>
    <x v="1"/>
    <s v="Christian Spencer"/>
    <n v="43191787"/>
    <n v="6213"/>
    <d v="2019-07-03T00:00:00"/>
  </r>
  <r>
    <n v="1900005786"/>
    <d v="2019-12-28T00:00:00"/>
    <s v="Brokerage"/>
    <s v="Ahmedabad"/>
    <s v="Global Client Network (GNB Inward)"/>
    <n v="4"/>
    <s v="Gilbert"/>
    <x v="1"/>
    <s v="Scarlett Webb"/>
    <s v="OG-20-2202-4097-00000201"/>
    <n v="8625"/>
    <d v="2019-09-21T00:00:00"/>
  </r>
  <r>
    <n v="1900005787"/>
    <d v="2019-12-28T00:00:00"/>
    <s v="Brokerage"/>
    <s v="Ahmedabad"/>
    <s v="Global Client Network (GNB Inward)"/>
    <n v="4"/>
    <s v="Gilbert"/>
    <x v="1"/>
    <s v="Dominic Graham"/>
    <s v="OG-20-2202-4097-00000170"/>
    <n v="4579"/>
    <d v="2019-09-21T00:00:00"/>
  </r>
  <r>
    <n v="1900005788"/>
    <d v="2019-12-28T00:00:00"/>
    <s v="Brokerage"/>
    <s v="Ahmedabad"/>
    <s v="Global Client Network (GNB Inward)"/>
    <n v="4"/>
    <s v="Gilbert"/>
    <x v="1"/>
    <s v="Violet Pearson"/>
    <s v="OG-19-2202-1005-00000153"/>
    <n v="1980"/>
    <d v="2019-06-14T00:00:00"/>
  </r>
  <r>
    <n v="1900005789"/>
    <d v="2019-12-28T00:00:00"/>
    <s v="Brokerage"/>
    <s v="Ahmedabad"/>
    <s v="Global Client Network (GNB Inward)"/>
    <n v="4"/>
    <s v="Gilbert"/>
    <x v="1"/>
    <s v="Jonathan Peterson"/>
    <s v="OG-20-2202-4097-00000171"/>
    <n v="3330"/>
    <d v="2019-09-21T00:00:00"/>
  </r>
  <r>
    <n v="1900005910"/>
    <d v="2019-12-31T00:00:00"/>
    <s v="Brokerage"/>
    <s v="Ahmedabad"/>
    <s v="Construction, Power &amp; Infrastructure"/>
    <n v="2"/>
    <s v="Abhinav Shivam"/>
    <x v="2"/>
    <s v="Maya Simmons"/>
    <s v="'99000044180300000047"/>
    <n v="90282"/>
    <d v="2019-02-27T00:00:00"/>
  </r>
  <r>
    <n v="1900005911"/>
    <d v="2019-12-31T00:00:00"/>
    <s v="Brokerage"/>
    <s v="Ahmedabad"/>
    <s v="Construction, Power &amp; Infrastructure"/>
    <n v="13"/>
    <s v="Vidit Shah"/>
    <x v="2"/>
    <s v="Connor Foster"/>
    <s v="'99000044180300000048"/>
    <n v="68639"/>
    <d v="2019-05-14T00:00:00"/>
  </r>
  <r>
    <n v="1900005912"/>
    <d v="2019-12-31T00:00:00"/>
    <s v="Brokerage"/>
    <s v="Ahmedabad"/>
    <s v="Construction, Power &amp; Infrastructure"/>
    <n v="2"/>
    <s v="Abhinav Shivam"/>
    <x v="2"/>
    <s v="Aurora Hamilton"/>
    <s v="'99000044180300000047"/>
    <n v="90282"/>
    <d v="2019-08-27T00:00:00"/>
  </r>
  <r>
    <n v="1900005913"/>
    <d v="2019-12-31T00:00:00"/>
    <s v="Brokerage"/>
    <s v="Ahmedabad"/>
    <s v="Construction, Power &amp; Infrastructure"/>
    <n v="2"/>
    <s v="Abhinav Shivam"/>
    <x v="2"/>
    <s v="Adrian Ross"/>
    <s v="'99000044180300000047"/>
    <n v="90282"/>
    <d v="2019-05-27T00:00:00"/>
  </r>
  <r>
    <n v="1900005915"/>
    <d v="2019-12-31T00:00:00"/>
    <s v="Brokerage"/>
    <s v="Ahmedabad"/>
    <s v="Construction, Power &amp; Infrastructure"/>
    <n v="13"/>
    <s v="Vidit Shah"/>
    <x v="2"/>
    <s v="Natalia Stone"/>
    <s v="'99000044180300000076"/>
    <n v="67102"/>
    <d v="2019-03-27T00:00:00"/>
  </r>
  <r>
    <n v="1900005959"/>
    <d v="2019-12-31T00:00:00"/>
    <s v="Brokerage"/>
    <s v="Ahmedabad"/>
    <s v="Liability"/>
    <n v="13"/>
    <s v="Vidit Shah"/>
    <x v="1"/>
    <s v="Miles Andrews"/>
    <s v="'0300004329"/>
    <n v="125000"/>
    <d v="2019-01-31T00:00:00"/>
  </r>
  <r>
    <n v="1900005960"/>
    <d v="2019-12-31T00:00:00"/>
    <s v="Brokerage"/>
    <s v="Ahmedabad"/>
    <s v="Trade Credit &amp;amp; Political Risk"/>
    <n v="1"/>
    <s v="Vinay"/>
    <x v="1"/>
    <s v="Hazel McCarthy"/>
    <s v="TBA"/>
    <n v="115781"/>
    <d v="2019-07-28T00:00:00"/>
  </r>
  <r>
    <n v="1900005961"/>
    <d v="2019-12-31T00:00:00"/>
    <s v="Brokerage"/>
    <s v="Ahmedabad"/>
    <s v="Liability"/>
    <n v="13"/>
    <s v="Vidit Shah"/>
    <x v="1"/>
    <s v="Aaron Nichols"/>
    <s v="'23060036180200000022"/>
    <n v="137500"/>
    <d v="2019-01-01T00:00:00"/>
  </r>
  <r>
    <n v="1900005962"/>
    <d v="2019-12-31T00:00:00"/>
    <s v="Brokerage"/>
    <s v="Ahmedabad"/>
    <s v="Construction, Power &amp; Infrastructure"/>
    <n v="2"/>
    <s v="Abhinav Shivam"/>
    <x v="2"/>
    <s v="Piper Holland"/>
    <s v="'99000044180300000078"/>
    <n v="208093"/>
    <d v="2019-03-25T00:00:00"/>
  </r>
  <r>
    <n v="1900005964"/>
    <d v="2019-12-31T00:00:00"/>
    <s v="Brokerage"/>
    <s v="Ahmedabad"/>
    <s v="Construction, Power &amp; Infrastructure"/>
    <n v="2"/>
    <s v="Abhinav Shivam"/>
    <x v="2"/>
    <s v="Evan Bishop"/>
    <s v="'99000044180300000078"/>
    <n v="153332"/>
    <d v="2019-07-07T00:00:00"/>
  </r>
  <r>
    <n v="1900005965"/>
    <d v="2019-12-31T00:00:00"/>
    <s v="Brokerage"/>
    <s v="Ahmedabad"/>
    <s v="Liability"/>
    <n v="13"/>
    <s v="Vidit Shah"/>
    <x v="1"/>
    <s v="Lucy Reid"/>
    <s v="'91000036191700000002"/>
    <n v="131250"/>
    <d v="2019-05-23T00:00:00"/>
  </r>
  <r>
    <n v="2000001072"/>
    <d v="2020-01-03T00:00:00"/>
    <s v="Brokerage"/>
    <s v="Ahmedabad"/>
    <s v="Marine"/>
    <n v="5"/>
    <s v="Juli"/>
    <x v="1"/>
    <s v="Cameron Lawson"/>
    <n v="2.4142025629033999E+18"/>
    <n v="56100"/>
    <d v="2019-03-08T00:00:00"/>
  </r>
  <r>
    <n v="2000001076"/>
    <d v="2020-01-03T00:00:00"/>
    <s v="Brokerage"/>
    <s v="Ahmedabad"/>
    <s v="Marine"/>
    <n v="13"/>
    <s v="Vidit Shah"/>
    <x v="1"/>
    <s v="Nora Freeman"/>
    <s v="0830016972 02"/>
    <n v="50333"/>
    <d v="2019-03-01T00:00:00"/>
  </r>
  <r>
    <n v="2000001082"/>
    <d v="2020-01-03T00:00:00"/>
    <s v="Brokerage"/>
    <s v="Ahmedabad"/>
    <s v="Liability"/>
    <n v="13"/>
    <s v="Vidit Shah"/>
    <x v="1"/>
    <s v="Tyler Stevens"/>
    <n v="41046110"/>
    <n v="74250"/>
    <d v="2019-04-09T00:00:00"/>
  </r>
  <r>
    <n v="2000001083"/>
    <d v="2020-01-03T00:00:00"/>
    <s v="Brokerage"/>
    <s v="Ahmedabad"/>
    <s v="Employee Benefits (EB)"/>
    <n v="5"/>
    <s v="Juli"/>
    <x v="1"/>
    <s v="Sydney Gibson"/>
    <s v="4101191100000008-00"/>
    <n v="48929"/>
    <d v="2019-11-10T00:00:00"/>
  </r>
  <r>
    <n v="2000001086"/>
    <d v="2020-01-03T00:00:00"/>
    <s v="Brokerage"/>
    <s v="Ahmedabad"/>
    <s v="Global Client Network (GNB Inward)"/>
    <n v="1"/>
    <s v="Vinay"/>
    <x v="2"/>
    <s v="Caleb Watts"/>
    <n v="1.11200441808E+19"/>
    <n v="49401"/>
    <d v="2019-01-03T00:00:00"/>
  </r>
  <r>
    <n v="2000001563"/>
    <d v="2020-01-16T00:00:00"/>
    <s v="Brokerage"/>
    <s v="Ahmedabad"/>
    <s v="Marine"/>
    <n v="5"/>
    <s v="Juli"/>
    <x v="0"/>
    <s v="Ruby Holland"/>
    <s v="MCO/I3350570/71/01/006343"/>
    <n v="9075"/>
    <d v="2019-01-12T00:00:00"/>
  </r>
  <r>
    <n v="2000001567"/>
    <d v="2020-01-16T00:00:00"/>
    <s v="Brokerage"/>
    <s v="Ahmedabad"/>
    <s v="Construction, Power &amp; Infrastructure"/>
    <n v="13"/>
    <s v="Vidit Shah"/>
    <x v="2"/>
    <s v="Robert Black"/>
    <s v="'11120044180300000011"/>
    <n v="24072"/>
    <d v="2019-03-13T00:00:00"/>
  </r>
  <r>
    <n v="2000001570"/>
    <d v="2020-01-16T00:00:00"/>
    <s v="Brokerage"/>
    <s v="Ahmedabad"/>
    <s v="Employee Benefits (EB)"/>
    <n v="6"/>
    <s v="Ketan Jain"/>
    <x v="1"/>
    <s v="Alice Wheeler"/>
    <s v="LPGPA0000000200/01"/>
    <n v="5550"/>
    <d v="2019-01-04T00:00:00"/>
  </r>
  <r>
    <n v="2000001575"/>
    <d v="2020-01-16T00:00:00"/>
    <s v="Brokerage"/>
    <s v="Ahmedabad"/>
    <s v="Property / BI"/>
    <n v="13"/>
    <s v="Vidit Shah"/>
    <x v="2"/>
    <s v="Justin Kim"/>
    <s v="'99000046192400000039"/>
    <n v="10938"/>
    <d v="2019-06-12T00:00:00"/>
  </r>
  <r>
    <n v="2000001579"/>
    <d v="2020-01-16T00:00:00"/>
    <s v="Brokerage"/>
    <s v="Ahmedabad"/>
    <s v="Emerging Corporates Group (ECG)"/>
    <n v="3"/>
    <s v="Animesh Rawat"/>
    <x v="2"/>
    <s v="Molly Zimmerman"/>
    <n v="2280038722"/>
    <n v="2789"/>
    <d v="2019-07-15T00:00:00"/>
  </r>
  <r>
    <n v="2000001583"/>
    <d v="2020-01-16T00:00:00"/>
    <s v="Brokerage"/>
    <s v="Ahmedabad"/>
    <s v="Marine"/>
    <n v="5"/>
    <s v="Juli"/>
    <x v="1"/>
    <s v="Mahendara"/>
    <n v="2.4142025629033999E+18"/>
    <n v="14025"/>
    <d v="2019-10-22T00:00:00"/>
  </r>
  <r>
    <n v="2000001589"/>
    <d v="2020-01-16T00:00:00"/>
    <s v="Brokerage"/>
    <s v="Ahmedabad"/>
    <s v="Global Client Network (GNB Inward)"/>
    <n v="4"/>
    <s v="Gilbert"/>
    <x v="1"/>
    <s v="Shruti"/>
    <s v="32099602-01"/>
    <n v="1112"/>
    <d v="2019-01-23T00:00:00"/>
  </r>
  <r>
    <n v="2000001598"/>
    <d v="2020-01-16T00:00:00"/>
    <s v="Brokerage"/>
    <s v="Ahmedabad"/>
    <s v="Employee Benefits (EB)"/>
    <n v="6"/>
    <s v="Ketan Jain"/>
    <x v="1"/>
    <s v="Janish"/>
    <n v="2.9992015408021002E+18"/>
    <n v="4302"/>
    <d v="2019-11-01T00:00:00"/>
  </r>
  <r>
    <n v="2000001604"/>
    <d v="2020-01-16T00:00:00"/>
    <s v="Brokerage"/>
    <s v="Ahmedabad"/>
    <s v="Liability"/>
    <n v="13"/>
    <s v="Vidit Shah"/>
    <x v="2"/>
    <s v="Aman Tyagi"/>
    <s v="'2302003268"/>
    <n v="21875"/>
    <d v="2019-02-11T00:00:00"/>
  </r>
  <r>
    <m/>
    <m/>
    <m/>
    <m/>
    <m/>
    <m/>
    <m/>
    <x v="3"/>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4927C5-AEE2-4DEA-A762-C69FAC3988EF}" name="PivotTable1" cacheId="264" applyNumberFormats="0" applyBorderFormats="0" applyFontFormats="0" applyPatternFormats="0" applyAlignmentFormats="0" applyWidthHeightFormats="1" dataCaption="Values" tag="25ff7518-2cf5-4bde-b573-38f3025ee77c" updatedVersion="6" minRefreshableVersion="3" useAutoFormatting="1" itemPrintTitles="1" createdVersion="6" indent="0" outline="1" outlineData="1" multipleFieldFilters="0" chartFormat="6">
  <location ref="A3:E13" firstHeaderRow="1" firstDataRow="2" firstDataCol="1"/>
  <pivotFields count="4">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pivotFields>
  <rowFields count="1">
    <field x="0"/>
  </rowFields>
  <rowItems count="9">
    <i>
      <x/>
    </i>
    <i>
      <x v="1"/>
    </i>
    <i>
      <x v="2"/>
    </i>
    <i>
      <x v="3"/>
    </i>
    <i>
      <x v="4"/>
    </i>
    <i>
      <x v="5"/>
    </i>
    <i>
      <x v="6"/>
    </i>
    <i>
      <x v="7"/>
    </i>
    <i t="grand">
      <x/>
    </i>
  </rowItems>
  <colFields count="1">
    <field x="2"/>
  </colFields>
  <colItems count="4">
    <i>
      <x/>
    </i>
    <i>
      <x v="1"/>
    </i>
    <i>
      <x v="2"/>
    </i>
    <i t="grand">
      <x/>
    </i>
  </colItems>
  <dataFields count="1">
    <dataField name="Count of invoice_number" fld="1" subtotal="count" baseField="0" baseItem="0"/>
  </dataFields>
  <chartFormats count="8">
    <chartFormat chart="5" format="15"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0"/>
          </reference>
        </references>
      </pivotArea>
    </chartFormat>
    <chartFormat chart="5" format="16" series="1">
      <pivotArea type="data" outline="0" fieldPosition="0">
        <references count="2">
          <reference field="4294967294" count="1" selected="0">
            <x v="0"/>
          </reference>
          <reference field="2" count="1" selected="0">
            <x v="1"/>
          </reference>
        </references>
      </pivotArea>
    </chartFormat>
    <chartFormat chart="5" format="17" series="1">
      <pivotArea type="data" outline="0" fieldPosition="0">
        <references count="2">
          <reference field="4294967294" count="1" selected="0">
            <x v="0"/>
          </reference>
          <reference field="2" count="1" selected="0">
            <x v="2"/>
          </reference>
        </references>
      </pivotArea>
    </chartFormat>
    <chartFormat chart="2" format="10" series="1">
      <pivotArea type="data" outline="0" fieldPosition="0">
        <references count="2">
          <reference field="4294967294" count="1" selected="0">
            <x v="0"/>
          </reference>
          <reference field="2" count="1" selected="0">
            <x v="1"/>
          </reference>
        </references>
      </pivotArea>
    </chartFormat>
    <chartFormat chart="2" format="11" series="1">
      <pivotArea type="data" outline="0" fieldPosition="0">
        <references count="2">
          <reference field="4294967294" count="1" selected="0">
            <x v="0"/>
          </reference>
          <reference field="2" count="1" selected="0">
            <x v="2"/>
          </reference>
        </references>
      </pivotArea>
    </chartFormat>
    <chartFormat chart="5" format="18" series="1">
      <pivotArea type="data" outline="0" fieldPosition="0">
        <references count="2">
          <reference field="4294967294" count="1" selected="0">
            <x v="0"/>
          </reference>
          <reference field="2" count="1" selected="0">
            <x v="0"/>
          </reference>
        </references>
      </pivotArea>
    </chartFormat>
    <chartFormat chart="2" format="12" series="1">
      <pivotArea type="data" outline="0" fieldPosition="0">
        <references count="2">
          <reference field="4294967294" count="1" selected="0">
            <x v="0"/>
          </reference>
          <reference field="2"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invoice_number"/>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0"/>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invoice_202001231041]"/>
        <x15:activeTabTopLevelEntity name="[meeting_list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310E32C-1C1A-4BE8-87D6-6C6B0C00DBC5}" name="PivotTable4" cacheId="270" applyNumberFormats="0" applyBorderFormats="0" applyFontFormats="0" applyPatternFormats="0" applyAlignmentFormats="0" applyWidthHeightFormats="1" dataCaption="Values" tag="9240e19e-94d5-45e4-b9a8-286588925076" updatedVersion="6" minRefreshableVersion="3" useAutoFormatting="1" itemPrintTitles="1" createdVersion="6" indent="0" outline="1" outlineData="1" multipleFieldFilters="0" chartFormat="5">
  <location ref="A2:B10"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opportunity_id" fld="1" subtotal="count" baseField="0" baseItem="0"/>
  </dataFields>
  <chartFormats count="16">
    <chartFormat chart="2" format="0" series="1">
      <pivotArea type="data" outline="0" fieldPosition="0">
        <references count="1">
          <reference field="4294967294" count="1" selected="0">
            <x v="0"/>
          </reference>
        </references>
      </pivotArea>
    </chartFormat>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0" count="1" selected="0">
            <x v="0"/>
          </reference>
        </references>
      </pivotArea>
    </chartFormat>
    <chartFormat chart="4" format="11">
      <pivotArea type="data" outline="0" fieldPosition="0">
        <references count="2">
          <reference field="4294967294" count="1" selected="0">
            <x v="0"/>
          </reference>
          <reference field="0" count="1" selected="0">
            <x v="1"/>
          </reference>
        </references>
      </pivotArea>
    </chartFormat>
    <chartFormat chart="4" format="12">
      <pivotArea type="data" outline="0" fieldPosition="0">
        <references count="2">
          <reference field="4294967294" count="1" selected="0">
            <x v="0"/>
          </reference>
          <reference field="0" count="1" selected="0">
            <x v="2"/>
          </reference>
        </references>
      </pivotArea>
    </chartFormat>
    <chartFormat chart="4" format="13">
      <pivotArea type="data" outline="0" fieldPosition="0">
        <references count="2">
          <reference field="4294967294" count="1" selected="0">
            <x v="0"/>
          </reference>
          <reference field="0" count="1" selected="0">
            <x v="3"/>
          </reference>
        </references>
      </pivotArea>
    </chartFormat>
    <chartFormat chart="4" format="14">
      <pivotArea type="data" outline="0" fieldPosition="0">
        <references count="2">
          <reference field="4294967294" count="1" selected="0">
            <x v="0"/>
          </reference>
          <reference field="0" count="1" selected="0">
            <x v="4"/>
          </reference>
        </references>
      </pivotArea>
    </chartFormat>
    <chartFormat chart="4" format="15">
      <pivotArea type="data" outline="0" fieldPosition="0">
        <references count="2">
          <reference field="4294967294" count="1" selected="0">
            <x v="0"/>
          </reference>
          <reference field="0" count="1" selected="0">
            <x v="5"/>
          </reference>
        </references>
      </pivotArea>
    </chartFormat>
    <chartFormat chart="4" format="16">
      <pivotArea type="data" outline="0" fieldPosition="0">
        <references count="2">
          <reference field="4294967294" count="1" selected="0">
            <x v="0"/>
          </reference>
          <reference field="0" count="1" selected="0">
            <x v="6"/>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4"/>
          </reference>
        </references>
      </pivotArea>
    </chartFormat>
    <chartFormat chart="2" format="6">
      <pivotArea type="data" outline="0" fieldPosition="0">
        <references count="2">
          <reference field="4294967294" count="1" selected="0">
            <x v="0"/>
          </reference>
          <reference field="0" count="1" selected="0">
            <x v="5"/>
          </reference>
        </references>
      </pivotArea>
    </chartFormat>
    <chartFormat chart="2" format="7">
      <pivotArea type="data" outline="0" fieldPosition="0">
        <references count="2">
          <reference field="4294967294" count="1" selected="0">
            <x v="0"/>
          </reference>
          <reference field="0" count="1" selected="0">
            <x v="6"/>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cel Project - Copy.xlsx!gcrm_opportunity_202001231041">
        <x15:activeTabTopLevelEntity name="[gcrm_opportunity_202001231041]"/>
        <x15:activeTabTopLevelEntity name="[meeting_list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5CA6260-EA6A-4105-B494-E0F7F09029FD}" name="PivotTable3" cacheId="276" applyNumberFormats="0" applyBorderFormats="0" applyFontFormats="0" applyPatternFormats="0" applyAlignmentFormats="0" applyWidthHeightFormats="1" dataCaption="Values" tag="e79e5afa-cbe9-4c6e-9eb7-650b3563c3c3" updatedVersion="6" minRefreshableVersion="3" useAutoFormatting="1" itemPrintTitles="1" createdVersion="6" indent="0" outline="1" outlineData="1" multipleFieldFilters="0" chartFormat="14">
  <location ref="A3:B6" firstHeaderRow="1" firstDataRow="1" firstDataCol="1"/>
  <pivotFields count="3">
    <pivotField axis="axisRow" allDrilled="1" subtotalTop="0" showAll="0" dataSourceSort="1" defaultSubtotal="0">
      <items count="2">
        <item x="0" e="0"/>
        <item x="1" e="0"/>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Items count="1">
    <i/>
  </colItems>
  <dataFields count="1">
    <dataField name="Count of meeting_date (Year)" fld="1" subtotal="count" baseField="0" baseItem="0"/>
  </dataFields>
  <chartFormats count="15">
    <chartFormat chart="4"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4" format="1">
      <pivotArea type="data" outline="0" fieldPosition="0">
        <references count="2">
          <reference field="4294967294" count="1" selected="0">
            <x v="0"/>
          </reference>
          <reference field="0" count="1" selected="0">
            <x v="0"/>
          </reference>
        </references>
      </pivotArea>
    </chartFormat>
    <chartFormat chart="4" format="2">
      <pivotArea type="data" outline="0" fieldPosition="0">
        <references count="2">
          <reference field="4294967294" count="1" selected="0">
            <x v="0"/>
          </reference>
          <reference field="0" count="1" selected="0">
            <x v="1"/>
          </reference>
        </references>
      </pivotArea>
    </chartFormat>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0" count="1" selected="0">
            <x v="0"/>
          </reference>
        </references>
      </pivotArea>
    </chartFormat>
    <chartFormat chart="9" format="8">
      <pivotArea type="data" outline="0" fieldPosition="0">
        <references count="2">
          <reference field="4294967294" count="1" selected="0">
            <x v="0"/>
          </reference>
          <reference field="0" count="1" selected="0">
            <x v="1"/>
          </reference>
        </references>
      </pivotArea>
    </chartFormat>
    <chartFormat chart="12" format="3" series="1">
      <pivotArea type="data" outline="0" fieldPosition="0">
        <references count="1">
          <reference field="4294967294" count="1" selected="0">
            <x v="0"/>
          </reference>
        </references>
      </pivotArea>
    </chartFormat>
    <chartFormat chart="12" format="4">
      <pivotArea type="data" outline="0" fieldPosition="0">
        <references count="2">
          <reference field="4294967294" count="1" selected="0">
            <x v="0"/>
          </reference>
          <reference field="0" count="1" selected="0">
            <x v="0"/>
          </reference>
        </references>
      </pivotArea>
    </chartFormat>
    <chartFormat chart="12" format="5">
      <pivotArea type="data" outline="0" fieldPosition="0">
        <references count="2">
          <reference field="4294967294" count="1" selected="0">
            <x v="0"/>
          </reference>
          <reference field="0" count="1" selected="0">
            <x v="1"/>
          </reference>
        </references>
      </pivotArea>
    </chartFormat>
    <chartFormat chart="13" format="6" series="1">
      <pivotArea type="data" outline="0" fieldPosition="0">
        <references count="1">
          <reference field="4294967294" count="1" selected="0">
            <x v="0"/>
          </reference>
        </references>
      </pivotArea>
    </chartFormat>
    <chartFormat chart="13" format="7">
      <pivotArea type="data" outline="0" fieldPosition="0">
        <references count="2">
          <reference field="4294967294" count="1" selected="0">
            <x v="0"/>
          </reference>
          <reference field="0" count="1" selected="0">
            <x v="0"/>
          </reference>
        </references>
      </pivotArea>
    </chartFormat>
    <chartFormat chart="13" format="8">
      <pivotArea type="data" outline="0" fieldPosition="0">
        <references count="2">
          <reference field="4294967294" count="1" selected="0">
            <x v="0"/>
          </reference>
          <reference field="0" count="1" selected="0">
            <x v="1"/>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cel Project - Copy.xlsx!meeting_list_202001231041">
        <x15:activeTabTopLevelEntity name="[meeting_list_202001231041]"/>
        <x15:activeTabTopLevelEntity name="[gcrm_opportunity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9BA1B79-8912-4D53-AE77-C18B4402098E}" name="PivotTable6" cacheId="267" applyNumberFormats="0" applyBorderFormats="0" applyFontFormats="0" applyPatternFormats="0" applyAlignmentFormats="0" applyWidthHeightFormats="1" dataCaption="Values" tag="fcb9e522-0e3c-42ba-8c1b-7f445616d5a5" updatedVersion="6" minRefreshableVersion="3" useAutoFormatting="1" itemPrintTitles="1" createdVersion="6" indent="0" outline="1" outlineData="1" multipleFieldFilters="0" chartFormat="4">
  <location ref="A3:B13" firstHeaderRow="1" firstDataRow="1" firstDataCol="1"/>
  <pivotFields count="3">
    <pivotField axis="axisRow" allDrilled="1" subtotalTop="0" showAll="0" sortType="ascending" dataSourceSort="1"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6"/>
    </i>
    <i>
      <x v="5"/>
    </i>
    <i>
      <x v="4"/>
    </i>
    <i>
      <x v="2"/>
    </i>
    <i>
      <x v="1"/>
    </i>
    <i>
      <x v="3"/>
    </i>
    <i>
      <x v="7"/>
    </i>
    <i>
      <x v="8"/>
    </i>
    <i>
      <x/>
    </i>
    <i t="grand">
      <x/>
    </i>
  </rowItems>
  <colItems count="1">
    <i/>
  </colItems>
  <dataFields count="1">
    <dataField name="Count of meeting_date (Year)" fld="1"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cel Project - Copy.xlsx!meeting_list_202001231041">
        <x15:activeTabTopLevelEntity name="[meeting_list_202001231041]"/>
        <x15:activeTabTopLevelEntity name="[gcrm_opportunity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6AC98DC-1055-4AF9-A9CD-B91E5F464788}" name="PivotTable5" cacheId="273" applyNumberFormats="0" applyBorderFormats="0" applyFontFormats="0" applyPatternFormats="0" applyAlignmentFormats="0" applyWidthHeightFormats="1" dataCaption="Values" tag="bcd0c23c-e50a-4b6e-b41a-0d02e0d5f0b0" updatedVersion="6" minRefreshableVersion="3" useAutoFormatting="1" itemPrintTitles="1" createdVersion="6" indent="0" outline="1" outlineData="1" multipleFieldFilters="0" chartFormat="3">
  <location ref="A2:B7" firstHeaderRow="1" firstDataRow="1" firstDataCol="1"/>
  <pivotFields count="3">
    <pivotField axis="axisRow" allDrilled="1" subtotalTop="0" showAll="0" measureFilter="1" sortType="ascending" dataSourceSort="1"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revenue_amount" fld="1" baseField="0" baseItem="0"/>
  </dataFields>
  <formats count="11">
    <format dxfId="163">
      <pivotArea collapsedLevelsAreSubtotals="1" fieldPosition="0">
        <references count="1">
          <reference field="0" count="1">
            <x v="6"/>
          </reference>
        </references>
      </pivotArea>
    </format>
    <format dxfId="162">
      <pivotArea collapsedLevelsAreSubtotals="1" fieldPosition="0">
        <references count="1">
          <reference field="0" count="1">
            <x v="9"/>
          </reference>
        </references>
      </pivotArea>
    </format>
    <format dxfId="161">
      <pivotArea collapsedLevelsAreSubtotals="1" fieldPosition="0">
        <references count="1">
          <reference field="0" count="1">
            <x v="7"/>
          </reference>
        </references>
      </pivotArea>
    </format>
    <format dxfId="160">
      <pivotArea collapsedLevelsAreSubtotals="1" fieldPosition="0">
        <references count="1">
          <reference field="0" count="1">
            <x v="10"/>
          </reference>
        </references>
      </pivotArea>
    </format>
    <format dxfId="159">
      <pivotArea collapsedLevelsAreSubtotals="1" fieldPosition="0">
        <references count="1">
          <reference field="0" count="1">
            <x v="8"/>
          </reference>
        </references>
      </pivotArea>
    </format>
    <format dxfId="158">
      <pivotArea collapsedLevelsAreSubtotals="1" fieldPosition="0">
        <references count="1">
          <reference field="0" count="1">
            <x v="5"/>
          </reference>
        </references>
      </pivotArea>
    </format>
    <format dxfId="157">
      <pivotArea collapsedLevelsAreSubtotals="1" fieldPosition="0">
        <references count="1">
          <reference field="0" count="1">
            <x v="4"/>
          </reference>
        </references>
      </pivotArea>
    </format>
    <format dxfId="156">
      <pivotArea collapsedLevelsAreSubtotals="1" fieldPosition="0">
        <references count="1">
          <reference field="0" count="1">
            <x v="0"/>
          </reference>
        </references>
      </pivotArea>
    </format>
    <format dxfId="155">
      <pivotArea collapsedLevelsAreSubtotals="1" fieldPosition="0">
        <references count="1">
          <reference field="0" count="1">
            <x v="1"/>
          </reference>
        </references>
      </pivotArea>
    </format>
    <format dxfId="154">
      <pivotArea collapsedLevelsAreSubtotals="1" fieldPosition="0">
        <references count="1">
          <reference field="0" count="1">
            <x v="2"/>
          </reference>
        </references>
      </pivotArea>
    </format>
    <format dxfId="153">
      <pivotArea collapsedLevelsAreSubtotals="1" fieldPosition="0">
        <references count="1">
          <reference field="0" count="1">
            <x v="3"/>
          </reference>
        </references>
      </pivotArea>
    </format>
  </formats>
  <chartFormats count="2">
    <chartFormat chart="2" format="3"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0"/>
          </reference>
        </references>
      </pivotArea>
    </chartFormat>
  </chart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4" iMeasureHier="43">
      <autoFilter ref="A1">
        <filterColumn colId="0">
          <top10 val="4" filterVal="4"/>
        </filterColumn>
      </autoFilter>
    </filter>
  </filter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gcrm_opportunity_202001231041]"/>
        <x15:activeTabTopLevelEntity name="[meeting_list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B066973-018B-4092-AAAF-AE245FB24DF7}" name="PivotTable10" cacheId="144"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14:B18" firstHeaderRow="1" firstDataRow="1" firstDataCol="1"/>
  <pivotFields count="17">
    <pivotField showAll="0"/>
    <pivotField showAll="0"/>
    <pivotField showAll="0"/>
    <pivotField showAll="0"/>
    <pivotField showAll="0"/>
    <pivotField showAll="0"/>
    <pivotField showAll="0"/>
    <pivotField showAll="0"/>
    <pivotField showAll="0"/>
    <pivotField showAll="0"/>
    <pivotField axis="axisRow" showAll="0">
      <items count="5">
        <item x="2"/>
        <item x="1"/>
        <item x="0"/>
        <item h="1" x="3"/>
        <item t="default"/>
      </items>
    </pivotField>
    <pivotField dataField="1"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Sum of Amount"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0F447D-4D70-40FD-AFAC-F62FFEB3B472}" name="PivotTable8" cacheId="14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4" firstHeaderRow="0" firstDataRow="1" firstDataCol="0"/>
  <pivotFields count="7">
    <pivotField showAll="0"/>
    <pivotField showAll="0"/>
    <pivotField showAll="0"/>
    <pivotField showAll="0"/>
    <pivotField dataField="1" showAll="0"/>
    <pivotField dataField="1" showAll="0"/>
    <pivotField dataField="1" showAll="0"/>
  </pivotFields>
  <rowItems count="1">
    <i/>
  </rowItems>
  <colFields count="1">
    <field x="-2"/>
  </colFields>
  <colItems count="3">
    <i>
      <x/>
    </i>
    <i i="1">
      <x v="1"/>
    </i>
    <i i="2">
      <x v="2"/>
    </i>
  </colItems>
  <dataFields count="3">
    <dataField name="Sum of New Budget" fld="4" baseField="0" baseItem="0"/>
    <dataField name="Sum of Cross sell bugdet" fld="5" baseField="0" baseItem="0"/>
    <dataField name="Sum of Renewal Budge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F205CC7-ECA2-479A-9D8E-9DAAAEDE12E1}" name="PivotTable12" cacheId="15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8:B32" firstHeaderRow="1" firstDataRow="1" firstDataCol="1"/>
  <pivotFields count="12">
    <pivotField showAll="0"/>
    <pivotField showAll="0"/>
    <pivotField showAll="0"/>
    <pivotField showAll="0"/>
    <pivotField showAll="0"/>
    <pivotField showAll="0"/>
    <pivotField showAll="0"/>
    <pivotField axis="axisRow" showAll="0">
      <items count="5">
        <item x="2"/>
        <item x="0"/>
        <item x="1"/>
        <item h="1" x="3"/>
        <item t="default"/>
      </items>
    </pivotField>
    <pivotField showAll="0"/>
    <pivotField showAll="0"/>
    <pivotField dataField="1" showAll="0"/>
    <pivotField showAll="0"/>
  </pivotFields>
  <rowFields count="1">
    <field x="7"/>
  </rowFields>
  <rowItems count="4">
    <i>
      <x/>
    </i>
    <i>
      <x v="1"/>
    </i>
    <i>
      <x v="2"/>
    </i>
    <i t="grand">
      <x/>
    </i>
  </rowItems>
  <colItems count="1">
    <i/>
  </colItems>
  <dataFields count="1">
    <dataField name="Sum of Amount" fld="1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BCAA04F-5107-420F-8B3D-3D09BCD1CE8D}" name="PivotTable11" cacheId="147"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21:B25" firstHeaderRow="1" firstDataRow="1" firstDataCol="1"/>
  <pivotFields count="9">
    <pivotField showAll="0"/>
    <pivotField showAll="0"/>
    <pivotField showAll="0"/>
    <pivotField showAll="0"/>
    <pivotField showAll="0"/>
    <pivotField axis="axisRow" showAll="0">
      <items count="5">
        <item x="0"/>
        <item x="2"/>
        <item x="1"/>
        <item h="1" x="3"/>
        <item t="default"/>
      </items>
    </pivotField>
    <pivotField dataField="1" showAll="0"/>
    <pivotField showAll="0"/>
    <pivotField showAll="0"/>
  </pivotFields>
  <rowFields count="1">
    <field x="5"/>
  </rowFields>
  <rowItems count="4">
    <i>
      <x/>
    </i>
    <i>
      <x v="1"/>
    </i>
    <i>
      <x v="2"/>
    </i>
    <i t="grand">
      <x/>
    </i>
  </rowItems>
  <colItems count="1">
    <i/>
  </colItems>
  <dataFields count="1">
    <dataField name="Sum of Amount"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A6F5500-6696-45EB-BD13-774F0AE7058F}" name="PivotTable7" cacheId="261" applyNumberFormats="0" applyBorderFormats="0" applyFontFormats="0" applyPatternFormats="0" applyAlignmentFormats="0" applyWidthHeightFormats="1" dataCaption="Values" tag="b0479655-1c07-4cc7-9808-5a14d214529b" updatedVersion="6" minRefreshableVersion="3" useAutoFormatting="1" itemPrintTitles="1" createdVersion="6" indent="0" outline="1" outlineData="1" multipleFieldFilters="0">
  <location ref="A2:B6"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Sum of revenue_amount" fld="1" baseField="0" baseItem="0"/>
  </dataFields>
  <formats count="3">
    <format dxfId="152">
      <pivotArea collapsedLevelsAreSubtotals="1" fieldPosition="0">
        <references count="1">
          <reference field="0" count="1">
            <x v="0"/>
          </reference>
        </references>
      </pivotArea>
    </format>
    <format dxfId="151">
      <pivotArea collapsedLevelsAreSubtotals="1" fieldPosition="0">
        <references count="1">
          <reference field="0" count="1">
            <x v="1"/>
          </reference>
        </references>
      </pivotArea>
    </format>
    <format dxfId="150">
      <pivotArea collapsedLevelsAreSubtotals="1" fieldPosition="0">
        <references count="1">
          <reference field="0" count="1">
            <x v="2"/>
          </reference>
        </references>
      </pivotArea>
    </format>
  </formats>
  <pivotHierarchies count="44">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Final Excel Project - Copy.xlsx!gcrm_opportunity_202001231041">
        <x15:activeTabTopLevelEntity name="[gcrm_opportunity_202001231041]"/>
        <x15:activeTabTopLevelEntity name="[meeting_list_202001231041]"/>
        <x15:activeTabTopLevelEntity name="[invoice_20200123104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BF01579-84A6-49B1-B6FE-4C50C9FAB03D}" autoFormatId="16" applyNumberFormats="0" applyBorderFormats="0" applyFontFormats="0" applyPatternFormats="0" applyAlignmentFormats="0" applyWidthHeightFormats="0">
  <queryTableRefresh nextId="18">
    <queryTableFields count="17">
      <queryTableField id="1" name="client_name" tableColumnId="1"/>
      <queryTableField id="2" name="policy_number" tableColumnId="2"/>
      <queryTableField id="3" name="policy_status" tableColumnId="3"/>
      <queryTableField id="4" name="policy_start_date" tableColumnId="4"/>
      <queryTableField id="5" name="policy_end_date" tableColumnId="5"/>
      <queryTableField id="6" name="product_group" tableColumnId="6"/>
      <queryTableField id="7" name="Account Exe ID" tableColumnId="7"/>
      <queryTableField id="8" name="Exe Name" tableColumnId="8"/>
      <queryTableField id="9" name="branch_name" tableColumnId="9"/>
      <queryTableField id="10" name="solution_group" tableColumnId="10"/>
      <queryTableField id="11" name="income_class" tableColumnId="11"/>
      <queryTableField id="12" name="Amount" tableColumnId="12"/>
      <queryTableField id="13" name="income_due_date" tableColumnId="13"/>
      <queryTableField id="14" name="revenue_transaction_type" tableColumnId="14"/>
      <queryTableField id="15" name="renewal_status" tableColumnId="15"/>
      <queryTableField id="16" name="lapse_reason" tableColumnId="16"/>
      <queryTableField id="17" name="last_updated_dat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1355278A-5026-4E9F-9EFF-BDC3DE241B6B}" autoFormatId="16" applyNumberFormats="0" applyBorderFormats="0" applyFontFormats="0" applyPatternFormats="0" applyAlignmentFormats="0" applyWidthHeightFormats="0">
  <queryTableRefresh nextId="10">
    <queryTableFields count="9">
      <queryTableField id="1" name="client_name" tableColumnId="1"/>
      <queryTableField id="2" name="branch_name" tableColumnId="2"/>
      <queryTableField id="3" name="solution_group" tableColumnId="3"/>
      <queryTableField id="4" name="Account Exe ID" tableColumnId="4"/>
      <queryTableField id="5" name="Account Executive" tableColumnId="5"/>
      <queryTableField id="6" name="income_class" tableColumnId="6"/>
      <queryTableField id="7" name="Amount" tableColumnId="7"/>
      <queryTableField id="8" name="income_due_date" tableColumnId="8"/>
      <queryTableField id="9" name="revenue_transaction_type" tableColumnId="9"/>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6" xr16:uid="{7140D1E3-5E02-44C8-86B8-9441E3CF81C2}" autoFormatId="16" applyNumberFormats="0" applyBorderFormats="0" applyFontFormats="0" applyPatternFormats="0" applyAlignmentFormats="0" applyWidthHeightFormats="0">
  <queryTableRefresh nextId="8">
    <queryTableFields count="7">
      <queryTableField id="1" name="Branch" tableColumnId="1"/>
      <queryTableField id="2" name="Account Exe ID" tableColumnId="2"/>
      <queryTableField id="3" name="Employee Name" tableColumnId="3"/>
      <queryTableField id="4" name="New Role2" tableColumnId="4"/>
      <queryTableField id="5" name="New Budget" tableColumnId="5"/>
      <queryTableField id="6" name="Cross sell bugdet" tableColumnId="6"/>
      <queryTableField id="7" name="Renewal Budget"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4" xr16:uid="{5EEFB766-B501-4381-8C72-F01264FE5DCE}" autoFormatId="16" applyNumberFormats="0" applyBorderFormats="0" applyFontFormats="0" applyPatternFormats="0" applyAlignmentFormats="0" applyWidthHeightFormats="0">
  <queryTableRefresh nextId="13">
    <queryTableFields count="12">
      <queryTableField id="1" name="invoice_number" tableColumnId="1"/>
      <queryTableField id="2" name="invoice_date" tableColumnId="2"/>
      <queryTableField id="3" name="revenue_transaction_type" tableColumnId="3"/>
      <queryTableField id="4" name="branch_name" tableColumnId="4"/>
      <queryTableField id="5" name="solution_group" tableColumnId="5"/>
      <queryTableField id="6" name="Account_Exe_ID" tableColumnId="6"/>
      <queryTableField id="7" name="Account_Executive" tableColumnId="7"/>
      <queryTableField id="8" name="income_class" tableColumnId="8"/>
      <queryTableField id="9" name="Client_Name" tableColumnId="9"/>
      <queryTableField id="10" name="policy_number" tableColumnId="10"/>
      <queryTableField id="11" name="Amount" tableColumnId="11"/>
      <queryTableField id="12" name="income_due_date" tableColumnId="12"/>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1" connectionId="5" xr16:uid="{04FDAF18-8F9E-4618-9A54-E44595E8EC14}" autoFormatId="16" applyNumberFormats="0" applyBorderFormats="0" applyFontFormats="0" applyPatternFormats="0" applyAlignmentFormats="0" applyWidthHeightFormats="0">
  <queryTableRefresh nextId="6">
    <queryTableFields count="5">
      <queryTableField id="1" name="Account Exe ID" tableColumnId="1"/>
      <queryTableField id="2" name="Account Executive" tableColumnId="2"/>
      <queryTableField id="3" name="branch_name" tableColumnId="3"/>
      <queryTableField id="4" name="global_attendees" tableColumnId="4"/>
      <queryTableField id="5" name="meeting_date" tableColumnId="5"/>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1" connectionId="3" xr16:uid="{2DB00D88-C73F-460C-8302-BA64553FC530}" autoFormatId="16" applyNumberFormats="0" applyBorderFormats="0" applyFontFormats="0" applyPatternFormats="0" applyAlignmentFormats="0" applyWidthHeightFormats="0">
  <queryTableRefresh nextId="14">
    <queryTableFields count="13">
      <queryTableField id="1" name="opportunity_name" tableColumnId="1"/>
      <queryTableField id="2" name="opportunity_id" tableColumnId="2"/>
      <queryTableField id="3" name="Account Exe Id" tableColumnId="3"/>
      <queryTableField id="4" name="Account Executive" tableColumnId="4"/>
      <queryTableField id="5" name="premium_amount" tableColumnId="5"/>
      <queryTableField id="6" name="revenue_amount" tableColumnId="6"/>
      <queryTableField id="7" name="closing_date" tableColumnId="7"/>
      <queryTableField id="8" name="stage" tableColumnId="8"/>
      <queryTableField id="9" name="branch" tableColumnId="9"/>
      <queryTableField id="10" name="specialty" tableColumnId="10"/>
      <queryTableField id="11" name="product_group" tableColumnId="11"/>
      <queryTableField id="12" name="product_sub_group" tableColumnId="12"/>
      <queryTableField id="13" name="risk_details" tableColumnId="1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ccount_Executive" xr10:uid="{72BA98B9-9FED-41F0-8F2E-7967EEAF0FCF}" sourceName="[meeting_list_202001231041].[Account Executive]">
  <pivotTables>
    <pivotTable tabId="11" name="PivotTable6"/>
    <pivotTable tabId="8" name="PivotTable1"/>
    <pivotTable tabId="20" name="PivotTable4"/>
    <pivotTable tabId="12" name="PivotTable7"/>
    <pivotTable tabId="15" name="PivotTable5"/>
    <pivotTable tabId="10" name="PivotTable3"/>
  </pivotTables>
  <data>
    <olap pivotCacheId="1511880147">
      <levels count="2">
        <level uniqueName="[meeting_list_202001231041].[Account Executive].[(All)]" sourceCaption="(All)" count="0"/>
        <level uniqueName="[meeting_list_202001231041].[Account Executive].[Account Executive]" sourceCaption="Account Executive" count="9">
          <ranges>
            <range startItem="0">
              <i n="[meeting_list_202001231041].[Account Executive].&amp;[Abhinav Shivam]" c="Abhinav Shivam"/>
              <i n="[meeting_list_202001231041].[Account Executive].&amp;[Animesh Rawat]" c="Animesh Rawat"/>
              <i n="[meeting_list_202001231041].[Account Executive].&amp;[Gilbert]" c="Gilbert"/>
              <i n="[meeting_list_202001231041].[Account Executive].&amp;[Ketan Jain]" c="Ketan Jain"/>
              <i n="[meeting_list_202001231041].[Account Executive].&amp;[Manish Sharma]" c="Manish Sharma"/>
              <i n="[meeting_list_202001231041].[Account Executive].&amp;[Mark]" c="Mark"/>
              <i n="[meeting_list_202001231041].[Account Executive].&amp;[Raju Kumar]" c="Raju Kumar"/>
              <i n="[meeting_list_202001231041].[Account Executive].&amp;[Shivani Sharma]" c="Shivani Sharma"/>
              <i n="[meeting_list_202001231041].[Account Executive].&amp;[Vinay]" c="Vinay"/>
            </range>
          </ranges>
        </level>
      </levels>
      <selections count="1">
        <selection n="[meeting_list_202001231041].[Account Executive].[All]"/>
      </selections>
    </olap>
  </data>
  <extLst>
    <x:ext xmlns:x15="http://schemas.microsoft.com/office/spreadsheetml/2010/11/main" uri="{470722E0-AACD-4C17-9CDC-17EF765DBC7E}">
      <x15:slicerCacheHideItemsWithNoData count="1">
        <x15:slicerCacheOlapLevelName uniqueName="[meeting_list_202001231041].[Account Executive].[Account Executive]"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eting_date__Year" xr10:uid="{666D137F-6F08-4021-99F9-026AEF80A2B7}" sourceName="[meeting_list_202001231041].[meeting_date (Year)]">
  <pivotTables>
    <pivotTable tabId="11" name="PivotTable6"/>
    <pivotTable tabId="8" name="PivotTable1"/>
    <pivotTable tabId="20" name="PivotTable4"/>
    <pivotTable tabId="12" name="PivotTable7"/>
    <pivotTable tabId="15" name="PivotTable5"/>
    <pivotTable tabId="10" name="PivotTable3"/>
  </pivotTables>
  <data>
    <olap pivotCacheId="1511880147">
      <levels count="2">
        <level uniqueName="[meeting_list_202001231041].[meeting_date (Year)].[(All)]" sourceCaption="(All)" count="0"/>
        <level uniqueName="[meeting_list_202001231041].[meeting_date (Year)].[meeting_date (Year)]" sourceCaption="meeting_date (Year)" count="2">
          <ranges>
            <range startItem="0">
              <i n="[meeting_list_202001231041].[meeting_date (Year)].&amp;[2019]" c="2019"/>
              <i n="[meeting_list_202001231041].[meeting_date (Year)].&amp;[2020]" c="2020"/>
            </range>
          </ranges>
        </level>
      </levels>
      <selections count="1">
        <selection n="[meeting_list_202001231041].[meeting_date (Year)].[All]"/>
      </selections>
    </olap>
  </data>
  <extLst>
    <x:ext xmlns:x15="http://schemas.microsoft.com/office/spreadsheetml/2010/11/main" uri="{470722E0-AACD-4C17-9CDC-17EF765DBC7E}">
      <x15:slicerCacheHideItemsWithNoData count="1">
        <x15:slicerCacheOlapLevelName uniqueName="[meeting_list_202001231041].[meeting_date (Year)].[meeting_date (Year)]"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ge" xr10:uid="{05E1BFC4-AAD3-48DE-8C95-24E97099A260}" sourceName="[gcrm_opportunity_202001231041].[stage]">
  <pivotTables>
    <pivotTable tabId="12" name="PivotTable7"/>
    <pivotTable tabId="8" name="PivotTable1"/>
    <pivotTable tabId="11" name="PivotTable6"/>
    <pivotTable tabId="20" name="PivotTable4"/>
    <pivotTable tabId="15" name="PivotTable5"/>
    <pivotTable tabId="10" name="PivotTable3"/>
  </pivotTables>
  <data>
    <olap pivotCacheId="1511880147">
      <levels count="2">
        <level uniqueName="[gcrm_opportunity_202001231041].[stage].[(All)]" sourceCaption="(All)" count="0"/>
        <level uniqueName="[gcrm_opportunity_202001231041].[stage].[stage]" sourceCaption="stage" count="3">
          <ranges>
            <range startItem="0">
              <i n="[gcrm_opportunity_202001231041].[stage].&amp;[Negotiate]" c="Negotiate"/>
              <i n="[gcrm_opportunity_202001231041].[stage].&amp;[Propose Solution]" c="Propose Solution"/>
              <i n="[gcrm_opportunity_202001231041].[stage].&amp;[Qualify Opportunity]" c="Qualify Opportunity"/>
            </range>
          </ranges>
        </level>
      </levels>
      <selections count="1">
        <selection n="[gcrm_opportunity_202001231041].[stage].[All]"/>
      </selections>
    </olap>
  </data>
  <extLst>
    <x:ext xmlns:x15="http://schemas.microsoft.com/office/spreadsheetml/2010/11/main" uri="{470722E0-AACD-4C17-9CDC-17EF765DBC7E}">
      <x15:slicerCacheHideItemsWithNoData count="1">
        <x15:slicerCacheOlapLevelName uniqueName="[gcrm_opportunity_202001231041].[stage].[stage]" count="0"/>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_class" xr10:uid="{FD70A0B0-21E6-4091-A118-017023D11BB1}" sourceName="[invoice_202001231041].[income_class]">
  <pivotTables>
    <pivotTable tabId="8" name="PivotTable1"/>
    <pivotTable tabId="11" name="PivotTable6"/>
    <pivotTable tabId="20" name="PivotTable4"/>
    <pivotTable tabId="12" name="PivotTable7"/>
    <pivotTable tabId="15" name="PivotTable5"/>
    <pivotTable tabId="10" name="PivotTable3"/>
  </pivotTables>
  <data>
    <olap pivotCacheId="1511880147">
      <levels count="2">
        <level uniqueName="[invoice_202001231041].[income_class].[(All)]" sourceCaption="(All)" count="0"/>
        <level uniqueName="[invoice_202001231041].[income_class].[income_class]" sourceCaption="income_class" count="3">
          <ranges>
            <range startItem="0">
              <i n="[invoice_202001231041].[income_class].&amp;[Cross Sell]" c="Cross Sell"/>
              <i n="[invoice_202001231041].[income_class].&amp;[New]" c="New"/>
              <i n="[invoice_202001231041].[income_class].&amp;[Renewal]" c="Renewal"/>
            </range>
          </ranges>
        </level>
      </levels>
      <selections count="1">
        <selection n="[invoice_202001231041].[income_class].[All]"/>
      </selections>
    </olap>
  </data>
  <extLst>
    <x:ext xmlns:x15="http://schemas.microsoft.com/office/spreadsheetml/2010/11/main" uri="{470722E0-AACD-4C17-9CDC-17EF765DBC7E}">
      <x15:slicerCacheHideItemsWithNoData count="1">
        <x15:slicerCacheOlapLevelName uniqueName="[invoice_202001231041].[income_class].[income_class]"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income_class" xr10:uid="{1D75E259-5C86-4E8E-A291-5D97BE699A74}" cache="Slicer_income_class" caption="income_class" level="1" rowHeight="2730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xr10:uid="{D4594E59-348C-4FC8-91BE-C24FC4EEC297}" cache="Slicer_Account_Executive" caption="Account Executive" level="1" rowHeight="273050"/>
  <slicer name="meeting_date (Year)" xr10:uid="{CFBDB187-0662-4B69-A7A4-52E27F34A124}" cache="Slicer_meeting_date__Year" caption="meeting_date (Year)" level="1" rowHeight="2730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ge" xr10:uid="{C99CC224-C6FF-456D-8106-E67CAF03D496}" cache="Slicer_stage" caption="stage" level="1" rowHeight="2730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ccount Executive 1" xr10:uid="{4D7822C8-6FFB-41F4-84FE-0169DD96F8BF}" cache="Slicer_Account_Executive" caption="Account Executive" level="1" rowHeight="216000"/>
  <slicer name="meeting_date (Year) 1" xr10:uid="{2728C969-09CD-49C9-9049-085E27FE3D34}" cache="Slicer_meeting_date__Year" caption="Year" columnCount="2" level="1" rowHeight="216000"/>
  <slicer name="stage 1" xr10:uid="{6E250676-0933-4306-85D4-07C427797FB1}" cache="Slicer_stage" caption="Stage" level="1" rowHeight="216000"/>
  <slicer name="income_class 1" xr10:uid="{62E6FD82-237F-44B3-8983-FB1328CE8B6E}" cache="Slicer_income_class" caption="Income Class" level="1" rowHeight="180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67D06A0-6A9B-480E-AA0C-9BEC8AD17B64}" name="brokerage_202001231040" displayName="brokerage_202001231040" ref="A1:Q921" tableType="queryTable" totalsRowShown="0">
  <autoFilter ref="A1:Q921" xr:uid="{7A6CBC02-BA3E-4CC2-AF8A-E8EAF1F60373}"/>
  <tableColumns count="17">
    <tableColumn id="1" xr3:uid="{85196659-845E-4188-8786-094FD3E7085F}" uniqueName="1" name="client_name" queryTableFieldId="1"/>
    <tableColumn id="2" xr3:uid="{0A404ECF-6BCA-44D1-9DF5-3874C41CF74E}" uniqueName="2" name="policy_number" queryTableFieldId="2"/>
    <tableColumn id="3" xr3:uid="{33EF6F80-6BD5-4E01-9741-F3E789850523}" uniqueName="3" name="policy_status" queryTableFieldId="3"/>
    <tableColumn id="4" xr3:uid="{EF32A452-4010-4363-A2F7-E278FBDF4D7F}" uniqueName="4" name="policy_start_date" queryTableFieldId="4" dataDxfId="106"/>
    <tableColumn id="5" xr3:uid="{1D913894-A029-495D-9E31-062CECDF40D2}" uniqueName="5" name="policy_end_date" queryTableFieldId="5" dataDxfId="105"/>
    <tableColumn id="6" xr3:uid="{F752A800-62EB-4225-9465-A9608BB2992A}" uniqueName="6" name="product_group" queryTableFieldId="6"/>
    <tableColumn id="7" xr3:uid="{AB1764F7-3F63-42A9-9124-03A26455DD65}" uniqueName="7" name="Account Exe ID" queryTableFieldId="7"/>
    <tableColumn id="8" xr3:uid="{5CB791E5-B3B5-4FF2-A36E-3CA112665473}" uniqueName="8" name="Exe Name" queryTableFieldId="8"/>
    <tableColumn id="9" xr3:uid="{F2BC747B-09C3-4D6F-BD20-19B6D0A02337}" uniqueName="9" name="branch_name" queryTableFieldId="9"/>
    <tableColumn id="10" xr3:uid="{76E43C6A-060B-4AE7-B2C1-FBCBBBF4F8F4}" uniqueName="10" name="solution_group" queryTableFieldId="10"/>
    <tableColumn id="11" xr3:uid="{7C63D327-7DAA-4CB2-902E-47B9CB5AF5FD}" uniqueName="11" name="income_class" queryTableFieldId="11"/>
    <tableColumn id="12" xr3:uid="{55986126-4DAC-4B03-A4B4-F65DBDB43E41}" uniqueName="12" name="Amount" queryTableFieldId="12"/>
    <tableColumn id="13" xr3:uid="{B5164977-06A0-458B-96CB-C05C408FCCC9}" uniqueName="13" name="income_due_date" queryTableFieldId="13" dataDxfId="104"/>
    <tableColumn id="14" xr3:uid="{200DF1EB-4A9E-4818-8DA6-A57AF67FF5DA}" uniqueName="14" name="revenue_transaction_type" queryTableFieldId="14"/>
    <tableColumn id="15" xr3:uid="{52374314-A819-4575-BC05-320BFB54BAD3}" uniqueName="15" name="renewal_status" queryTableFieldId="15"/>
    <tableColumn id="16" xr3:uid="{99C7C8EB-0D30-4A18-AC3E-9984433BCD74}" uniqueName="16" name="lapse_reason" queryTableFieldId="16"/>
    <tableColumn id="17" xr3:uid="{D967B780-D1FE-494B-9ACA-FAB8E1B3930D}" uniqueName="17" name="last_updated_date" queryTableFieldId="17" dataDxfId="10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3C52689-9739-4768-B8CD-E120796B3937}" name="fees_202001231041" displayName="fees_202001231041" ref="A1:I10" tableType="queryTable" totalsRowShown="0">
  <autoFilter ref="A1:I10" xr:uid="{ABCA51CC-0940-4DC0-A1CE-1BD6956471BA}"/>
  <tableColumns count="9">
    <tableColumn id="1" xr3:uid="{D0034E31-D790-4546-9F75-1201C669A3B6}" uniqueName="1" name="client_name" queryTableFieldId="1"/>
    <tableColumn id="2" xr3:uid="{13A26A9C-9232-46A7-8267-6D09A59E619F}" uniqueName="2" name="branch_name" queryTableFieldId="2"/>
    <tableColumn id="3" xr3:uid="{AE35D175-ADA5-44A4-9EE5-AC328E2D3A9A}" uniqueName="3" name="solution_group" queryTableFieldId="3"/>
    <tableColumn id="4" xr3:uid="{527ECFDA-9A33-48C7-8D07-6577058FC3D6}" uniqueName="4" name="Account Exe ID" queryTableFieldId="4"/>
    <tableColumn id="5" xr3:uid="{49A86341-6900-4EEF-86D4-4E3C53F6589F}" uniqueName="5" name="Account Executive" queryTableFieldId="5"/>
    <tableColumn id="6" xr3:uid="{83A3F203-4DE2-4532-AF4C-15697C96D100}" uniqueName="6" name="income_class" queryTableFieldId="6"/>
    <tableColumn id="7" xr3:uid="{810A9D48-7757-4BCA-B571-AAD32C62CF15}" uniqueName="7" name="Amount" queryTableFieldId="7"/>
    <tableColumn id="8" xr3:uid="{D10939D4-9188-40FA-8C97-F3DEA55F1288}" uniqueName="8" name="income_due_date" queryTableFieldId="8" dataDxfId="102"/>
    <tableColumn id="9" xr3:uid="{463063B1-5BEA-4C96-A1EB-BDC02479304A}" uniqueName="9" name="revenue_transaction_type" queryTableFieldId="9"/>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466BB49-3BC1-4864-80FB-5DE620605ADA}" name="NN_EN_EE_Indi_bdgt__20012020" displayName="NN_EN_EE_Indi_bdgt__20012020" ref="A1:G11" tableType="queryTable" totalsRowShown="0">
  <autoFilter ref="A1:G11" xr:uid="{10008C06-1785-4929-8334-D6A140871D15}"/>
  <tableColumns count="7">
    <tableColumn id="1" xr3:uid="{40FE27FF-8070-481B-93F9-292DCCFF0121}" uniqueName="1" name="Branch" queryTableFieldId="1"/>
    <tableColumn id="2" xr3:uid="{A48A9207-9E33-48B2-AD11-16CDAD4CAB9F}" uniqueName="2" name="Account Exe ID" queryTableFieldId="2"/>
    <tableColumn id="3" xr3:uid="{DD4ABADE-8648-4CF6-B25E-03A17A864263}" uniqueName="3" name="Employee Name" queryTableFieldId="3"/>
    <tableColumn id="4" xr3:uid="{77CDF554-7142-4408-A107-404E81E13575}" uniqueName="4" name="New Role2" queryTableFieldId="4"/>
    <tableColumn id="5" xr3:uid="{FE7BB6E1-C38B-448F-8BCA-88C4F395A4F1}" uniqueName="5" name="New Budget" queryTableFieldId="5"/>
    <tableColumn id="6" xr3:uid="{D0B11352-B275-4387-9F90-B0888BCC45AD}" uniqueName="6" name="Cross sell bugdet" queryTableFieldId="6"/>
    <tableColumn id="7" xr3:uid="{FCB3EA5E-B9CA-456B-BA97-26F9D39754C9}" uniqueName="7" name="Renewal Budget" queryTableFieldId="7"/>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13B6448-C3B6-4679-97E0-9089EE6D372A}" name="invoice_202001231041" displayName="invoice_202001231041" ref="A1:L205" tableType="queryTable" totalsRowShown="0">
  <autoFilter ref="A1:L205" xr:uid="{88F615FC-3899-4B0D-9979-EBE1732AB474}"/>
  <tableColumns count="12">
    <tableColumn id="1" xr3:uid="{4BFBAF47-AF2F-4EB1-99E8-43CD8CCC9535}" uniqueName="1" name="invoice_number" queryTableFieldId="1"/>
    <tableColumn id="2" xr3:uid="{FBD3C73E-8EFB-439C-90E3-6DA824D535EF}" uniqueName="2" name="invoice_date" queryTableFieldId="2" dataDxfId="101"/>
    <tableColumn id="3" xr3:uid="{7D9D067F-8F3D-4464-ADA2-FEDD372DA757}" uniqueName="3" name="revenue_transaction_type" queryTableFieldId="3"/>
    <tableColumn id="4" xr3:uid="{4454F49D-82A5-4679-9070-4A1B390ADD16}" uniqueName="4" name="branch_name" queryTableFieldId="4"/>
    <tableColumn id="5" xr3:uid="{4468AA6D-D268-4E35-9CBA-8F8ED5305838}" uniqueName="5" name="solution_group" queryTableFieldId="5"/>
    <tableColumn id="6" xr3:uid="{EA36DC67-EC51-4CDF-922A-9E583E155380}" uniqueName="6" name="Account_Exe_ID" queryTableFieldId="6"/>
    <tableColumn id="7" xr3:uid="{3328C037-5B85-4919-B66A-D04E1F123712}" uniqueName="7" name="Account_Executive" queryTableFieldId="7"/>
    <tableColumn id="8" xr3:uid="{E0F325FF-F631-47E1-B23A-2D53E0747854}" uniqueName="8" name="income_class" queryTableFieldId="8"/>
    <tableColumn id="9" xr3:uid="{AD167031-812F-4D91-8EE7-C5650F1094E5}" uniqueName="9" name="Client_Name" queryTableFieldId="9"/>
    <tableColumn id="10" xr3:uid="{96517BD3-9755-41CE-B489-7DF92ED4551B}" uniqueName="10" name="policy_number" queryTableFieldId="10"/>
    <tableColumn id="11" xr3:uid="{83902E1B-5499-4482-8C76-627520A2651D}" uniqueName="11" name="Amount" queryTableFieldId="11"/>
    <tableColumn id="12" xr3:uid="{B5455A17-7FC0-4993-B056-88FAF87D3B19}" uniqueName="12" name="income_due_date" queryTableFieldId="12" dataDxfId="100"/>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2E4E590-651B-44FA-8CCB-37783808F927}" name="meeting_list_202001231041" displayName="meeting_list_202001231041" ref="A1:E35" tableType="queryTable" totalsRowShown="0">
  <autoFilter ref="A1:E35" xr:uid="{326C8B4C-C03A-4AB7-A555-4FCA3944B8C4}"/>
  <tableColumns count="5">
    <tableColumn id="1" xr3:uid="{FDDBE851-4748-4134-9D55-575922738CF9}" uniqueName="1" name="Account Exe ID" queryTableFieldId="1"/>
    <tableColumn id="2" xr3:uid="{D20375A7-DC3F-4479-9FB4-795EBC2541F3}" uniqueName="2" name="Account Executive" queryTableFieldId="2"/>
    <tableColumn id="3" xr3:uid="{4715A3AC-5201-40F7-93BB-E35204E16347}" uniqueName="3" name="branch_name" queryTableFieldId="3"/>
    <tableColumn id="4" xr3:uid="{5C87ABC9-F33A-4F03-9E7B-F6374D493F11}" uniqueName="4" name="global_attendees" queryTableFieldId="4"/>
    <tableColumn id="5" xr3:uid="{4329E372-7155-4538-9D00-2B9984F1B619}" uniqueName="5" name="meeting_date" queryTableFieldId="5" dataDxfId="99"/>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A246597-4D85-40D2-A46D-00E345CB670C}" name="gcrm_opportunity_202001231041" displayName="gcrm_opportunity_202001231041" ref="A1:M50" tableType="queryTable" totalsRowShown="0">
  <autoFilter ref="A1:M50" xr:uid="{D609CFB1-67F6-442D-92D6-9EDCAED6FE24}"/>
  <tableColumns count="13">
    <tableColumn id="1" xr3:uid="{F2124435-F0BF-4779-BD31-C4C30F735BC5}" uniqueName="1" name="opportunity_name" queryTableFieldId="1"/>
    <tableColumn id="2" xr3:uid="{61B34EA8-F76F-491F-AE67-084A68630085}" uniqueName="2" name="opportunity_id" queryTableFieldId="2"/>
    <tableColumn id="3" xr3:uid="{26A4D9C1-8E5A-446F-8C70-91918A2D8301}" uniqueName="3" name="Account Exe Id" queryTableFieldId="3"/>
    <tableColumn id="4" xr3:uid="{317C0841-B208-4A0A-8832-93C42E0EC9D1}" uniqueName="4" name="Account Executive" queryTableFieldId="4"/>
    <tableColumn id="5" xr3:uid="{5AFFBF06-8B3A-4286-8174-CDA864B293DB}" uniqueName="5" name="premium_amount" queryTableFieldId="5"/>
    <tableColumn id="6" xr3:uid="{CEB91E37-0334-4767-B244-F71B140F023B}" uniqueName="6" name="revenue_amount" queryTableFieldId="6"/>
    <tableColumn id="7" xr3:uid="{0AF76CD7-F261-4E00-8EAB-29F5DF20F3FE}" uniqueName="7" name="closing_date" queryTableFieldId="7" dataDxfId="98"/>
    <tableColumn id="8" xr3:uid="{87F24AA0-513E-4E10-8E74-56B53772EFB9}" uniqueName="8" name="stage" queryTableFieldId="8"/>
    <tableColumn id="9" xr3:uid="{8311B57B-99D3-4F79-89B8-005ADF39396D}" uniqueName="9" name="branch" queryTableFieldId="9"/>
    <tableColumn id="10" xr3:uid="{68E1F59F-D834-4A6F-83D1-BDEA7961D0BE}" uniqueName="10" name="specialty" queryTableFieldId="10"/>
    <tableColumn id="11" xr3:uid="{28ABB944-59F8-4D67-9F34-0837E365BC9F}" uniqueName="11" name="product_group" queryTableFieldId="11"/>
    <tableColumn id="12" xr3:uid="{930DC7CD-F6E4-41E6-B9C9-9E4EEE0C0C5D}" uniqueName="12" name="product_sub_group" queryTableFieldId="12"/>
    <tableColumn id="13" xr3:uid="{E8F84EC7-32FC-4367-8FB1-AE5AF232CAA1}" uniqueName="13" name="risk_details" queryTableFieldId="13"/>
  </tableColumns>
  <tableStyleInfo name="TableStyleMedium7" showFirstColumn="0" showLastColumn="0" showRowStripes="1" showColumnStripes="0"/>
</table>
</file>

<file path=xl/theme/theme1.xml><?xml version="1.0" encoding="utf-8"?>
<a:theme xmlns:a="http://schemas.openxmlformats.org/drawingml/2006/main" name="Gallery">
  <a:themeElements>
    <a:clrScheme name="Gallery">
      <a:dk1>
        <a:sysClr val="windowText" lastClr="000000"/>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Gallery">
      <a:fillStyleLst>
        <a:solidFill>
          <a:schemeClr val="phClr"/>
        </a:solidFill>
        <a:gradFill rotWithShape="1">
          <a:gsLst>
            <a:gs pos="0">
              <a:schemeClr val="phClr">
                <a:tint val="54000"/>
                <a:alpha val="100000"/>
                <a:satMod val="105000"/>
                <a:lumMod val="110000"/>
              </a:schemeClr>
            </a:gs>
            <a:gs pos="100000">
              <a:schemeClr val="phClr">
                <a:tint val="78000"/>
                <a:alpha val="92000"/>
                <a:satMod val="109000"/>
                <a:lumMod val="100000"/>
              </a:schemeClr>
            </a:gs>
          </a:gsLst>
          <a:lin ang="5400000" scaled="0"/>
        </a:gradFill>
        <a:gradFill rotWithShape="1">
          <a:gsLst>
            <a:gs pos="0">
              <a:schemeClr val="phClr">
                <a:tint val="98000"/>
                <a:satMod val="110000"/>
                <a:lumMod val="104000"/>
              </a:schemeClr>
            </a:gs>
            <a:gs pos="69000">
              <a:schemeClr val="phClr">
                <a:shade val="88000"/>
                <a:satMod val="130000"/>
                <a:lumMod val="92000"/>
              </a:schemeClr>
            </a:gs>
            <a:gs pos="100000">
              <a:schemeClr val="phClr">
                <a:shade val="78000"/>
                <a:satMod val="130000"/>
                <a:lumMod val="92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effectStyle>
        <a:effectStyle>
          <a:effectLst>
            <a:outerShdw blurRad="50800" dist="50800" dir="5400000" sx="96000" sy="96000" rotWithShape="0">
              <a:srgbClr val="000000">
                <a:alpha val="48000"/>
              </a:srgbClr>
            </a:outerShdw>
          </a:effectLst>
          <a:scene3d>
            <a:camera prst="orthographicFront">
              <a:rot lat="0" lon="0" rev="0"/>
            </a:camera>
            <a:lightRig rig="balanced" dir="t">
              <a:rot lat="0" lon="0" rev="1080000"/>
            </a:lightRig>
          </a:scene3d>
          <a:sp3d>
            <a:bevelT w="38100" h="12700" prst="softRound"/>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12.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6.xml"/><Relationship Id="rId5" Type="http://schemas.openxmlformats.org/officeDocument/2006/relationships/printerSettings" Target="../printerSettings/printerSettings1.bin"/><Relationship Id="rId4" Type="http://schemas.openxmlformats.org/officeDocument/2006/relationships/pivotTable" Target="../pivotTables/pivotTable9.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2.bin"/><Relationship Id="rId1" Type="http://schemas.openxmlformats.org/officeDocument/2006/relationships/pivotTable" Target="../pivotTables/pivotTable10.xml"/><Relationship Id="rId4" Type="http://schemas.microsoft.com/office/2007/relationships/slicer" Target="../slicers/slicer3.xml"/></Relationships>
</file>

<file path=xl/worksheets/_rels/sheet1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328D5B-0A87-404D-B893-0BD20D3CB871}">
  <dimension ref="A1:Q921"/>
  <sheetViews>
    <sheetView topLeftCell="H1" workbookViewId="0">
      <selection activeCell="J9" sqref="J9"/>
    </sheetView>
  </sheetViews>
  <sheetFormatPr defaultRowHeight="18" x14ac:dyDescent="0.5"/>
  <cols>
    <col min="1" max="1" width="15.77734375" bestFit="1" customWidth="1"/>
    <col min="2" max="2" width="55" bestFit="1" customWidth="1"/>
    <col min="3" max="3" width="15.5546875" bestFit="1" customWidth="1"/>
    <col min="4" max="4" width="19.6640625" bestFit="1" customWidth="1"/>
    <col min="5" max="5" width="18.6640625" bestFit="1" customWidth="1"/>
    <col min="6" max="6" width="17.5546875" bestFit="1" customWidth="1"/>
    <col min="7" max="7" width="18.109375" bestFit="1" customWidth="1"/>
    <col min="8" max="8" width="13.88671875" bestFit="1" customWidth="1"/>
    <col min="9" max="9" width="16.33203125" bestFit="1" customWidth="1"/>
    <col min="10" max="10" width="32.77734375" bestFit="1" customWidth="1"/>
    <col min="11" max="11" width="15.77734375" bestFit="1" customWidth="1"/>
    <col min="12" max="12" width="11.109375" bestFit="1" customWidth="1"/>
    <col min="13" max="13" width="20.21875" bestFit="1" customWidth="1"/>
    <col min="14" max="14" width="28.21875" bestFit="1" customWidth="1"/>
    <col min="15" max="15" width="17.5546875" bestFit="1" customWidth="1"/>
    <col min="16" max="16" width="39.33203125" bestFit="1" customWidth="1"/>
    <col min="17" max="17" width="20.88671875" bestFit="1" customWidth="1"/>
  </cols>
  <sheetData>
    <row r="1" spans="1:17" x14ac:dyDescent="0.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5">
      <c r="A2" t="s">
        <v>17</v>
      </c>
      <c r="B2" t="s">
        <v>18</v>
      </c>
      <c r="C2" t="s">
        <v>19</v>
      </c>
      <c r="D2" s="1">
        <v>43209</v>
      </c>
      <c r="E2" s="1">
        <v>43573</v>
      </c>
      <c r="F2" t="s">
        <v>20</v>
      </c>
      <c r="G2">
        <v>1</v>
      </c>
      <c r="H2" t="s">
        <v>21</v>
      </c>
      <c r="I2" t="s">
        <v>22</v>
      </c>
      <c r="J2" t="s">
        <v>20</v>
      </c>
      <c r="K2" t="s">
        <v>23</v>
      </c>
      <c r="L2">
        <v>32186.720000000001</v>
      </c>
      <c r="M2" s="1">
        <v>43209</v>
      </c>
      <c r="N2" t="s">
        <v>24</v>
      </c>
      <c r="O2" t="s">
        <v>25</v>
      </c>
      <c r="Q2" s="1">
        <v>43852</v>
      </c>
    </row>
    <row r="3" spans="1:17" x14ac:dyDescent="0.5">
      <c r="A3" t="s">
        <v>26</v>
      </c>
      <c r="B3">
        <v>2.4142027811737001E+18</v>
      </c>
      <c r="C3" t="s">
        <v>19</v>
      </c>
      <c r="D3" s="1">
        <v>43586</v>
      </c>
      <c r="E3" s="1">
        <v>43951</v>
      </c>
      <c r="F3" t="s">
        <v>20</v>
      </c>
      <c r="G3">
        <v>2</v>
      </c>
      <c r="H3" t="s">
        <v>27</v>
      </c>
      <c r="I3" t="s">
        <v>22</v>
      </c>
      <c r="J3" t="s">
        <v>20</v>
      </c>
      <c r="K3" t="s">
        <v>28</v>
      </c>
      <c r="L3">
        <v>23590.71</v>
      </c>
      <c r="M3" s="1">
        <v>43586</v>
      </c>
      <c r="N3" t="s">
        <v>24</v>
      </c>
      <c r="O3" t="s">
        <v>25</v>
      </c>
      <c r="Q3" s="1">
        <v>43852</v>
      </c>
    </row>
    <row r="4" spans="1:17" x14ac:dyDescent="0.5">
      <c r="A4" t="s">
        <v>29</v>
      </c>
      <c r="B4" t="s">
        <v>30</v>
      </c>
      <c r="C4" t="s">
        <v>31</v>
      </c>
      <c r="D4" s="1">
        <v>43356</v>
      </c>
      <c r="E4" s="1">
        <v>43720</v>
      </c>
      <c r="F4" t="s">
        <v>32</v>
      </c>
      <c r="G4">
        <v>1</v>
      </c>
      <c r="H4" t="s">
        <v>21</v>
      </c>
      <c r="I4" t="s">
        <v>22</v>
      </c>
      <c r="J4" t="s">
        <v>33</v>
      </c>
      <c r="K4" t="s">
        <v>23</v>
      </c>
      <c r="L4">
        <v>4611.96</v>
      </c>
      <c r="M4" s="1">
        <v>43356</v>
      </c>
      <c r="N4" t="s">
        <v>24</v>
      </c>
      <c r="O4" t="s">
        <v>25</v>
      </c>
      <c r="Q4" s="1">
        <v>43852</v>
      </c>
    </row>
    <row r="5" spans="1:17" x14ac:dyDescent="0.5">
      <c r="A5" t="s">
        <v>34</v>
      </c>
      <c r="B5">
        <v>12139156</v>
      </c>
      <c r="C5" t="s">
        <v>19</v>
      </c>
      <c r="D5" s="1">
        <v>43721</v>
      </c>
      <c r="E5" s="1">
        <v>44086</v>
      </c>
      <c r="F5" t="s">
        <v>32</v>
      </c>
      <c r="G5">
        <v>1</v>
      </c>
      <c r="H5" t="s">
        <v>21</v>
      </c>
      <c r="I5" t="s">
        <v>22</v>
      </c>
      <c r="J5" t="s">
        <v>33</v>
      </c>
      <c r="K5" t="s">
        <v>23</v>
      </c>
      <c r="L5">
        <v>4975.41</v>
      </c>
      <c r="M5" s="1">
        <v>43721</v>
      </c>
      <c r="N5" t="s">
        <v>24</v>
      </c>
      <c r="O5" t="s">
        <v>23</v>
      </c>
      <c r="Q5" s="1">
        <v>43852</v>
      </c>
    </row>
    <row r="6" spans="1:17" x14ac:dyDescent="0.5">
      <c r="A6" t="s">
        <v>35</v>
      </c>
      <c r="B6">
        <v>2200090892</v>
      </c>
      <c r="C6" t="s">
        <v>19</v>
      </c>
      <c r="D6" s="1">
        <v>43410</v>
      </c>
      <c r="E6" s="1">
        <v>43774</v>
      </c>
      <c r="F6" t="s">
        <v>36</v>
      </c>
      <c r="G6">
        <v>1</v>
      </c>
      <c r="H6" t="s">
        <v>21</v>
      </c>
      <c r="I6" t="s">
        <v>22</v>
      </c>
      <c r="J6" t="s">
        <v>37</v>
      </c>
      <c r="K6" t="s">
        <v>23</v>
      </c>
      <c r="L6">
        <v>1198.8800000000001</v>
      </c>
      <c r="M6" s="1">
        <v>43410</v>
      </c>
      <c r="N6" t="s">
        <v>24</v>
      </c>
      <c r="O6" t="s">
        <v>25</v>
      </c>
      <c r="Q6" s="1">
        <v>43852</v>
      </c>
    </row>
    <row r="7" spans="1:17" x14ac:dyDescent="0.5">
      <c r="A7" t="s">
        <v>38</v>
      </c>
      <c r="B7" t="s">
        <v>39</v>
      </c>
      <c r="C7" t="s">
        <v>19</v>
      </c>
      <c r="D7" s="1">
        <v>43497</v>
      </c>
      <c r="E7" s="1">
        <v>43861</v>
      </c>
      <c r="F7" t="s">
        <v>40</v>
      </c>
      <c r="G7">
        <v>10</v>
      </c>
      <c r="H7" t="s">
        <v>41</v>
      </c>
      <c r="I7" t="s">
        <v>22</v>
      </c>
      <c r="J7" t="s">
        <v>42</v>
      </c>
      <c r="K7" t="s">
        <v>23</v>
      </c>
      <c r="L7">
        <v>1825.43</v>
      </c>
      <c r="M7" s="1">
        <v>43497</v>
      </c>
      <c r="N7" t="s">
        <v>24</v>
      </c>
      <c r="O7" t="s">
        <v>25</v>
      </c>
      <c r="Q7" s="1">
        <v>43852</v>
      </c>
    </row>
    <row r="8" spans="1:17" x14ac:dyDescent="0.5">
      <c r="A8" t="s">
        <v>43</v>
      </c>
      <c r="B8" t="s">
        <v>44</v>
      </c>
      <c r="C8" t="s">
        <v>19</v>
      </c>
      <c r="D8" s="1">
        <v>43641</v>
      </c>
      <c r="E8" s="1">
        <v>44006</v>
      </c>
      <c r="F8" t="s">
        <v>40</v>
      </c>
      <c r="G8">
        <v>2</v>
      </c>
      <c r="H8" t="s">
        <v>27</v>
      </c>
      <c r="I8" t="s">
        <v>22</v>
      </c>
      <c r="J8" t="s">
        <v>42</v>
      </c>
      <c r="K8" t="s">
        <v>28</v>
      </c>
      <c r="L8">
        <v>79833.600000000006</v>
      </c>
      <c r="M8" s="1">
        <v>43641</v>
      </c>
      <c r="N8" t="s">
        <v>24</v>
      </c>
      <c r="O8" t="s">
        <v>45</v>
      </c>
      <c r="Q8" s="1">
        <v>43852</v>
      </c>
    </row>
    <row r="9" spans="1:17" x14ac:dyDescent="0.5">
      <c r="A9" t="s">
        <v>46</v>
      </c>
      <c r="B9" t="s">
        <v>44</v>
      </c>
      <c r="C9" t="s">
        <v>19</v>
      </c>
      <c r="D9" s="1">
        <v>43641</v>
      </c>
      <c r="E9" s="1">
        <v>44006</v>
      </c>
      <c r="F9" t="s">
        <v>40</v>
      </c>
      <c r="G9">
        <v>2</v>
      </c>
      <c r="H9" t="s">
        <v>27</v>
      </c>
      <c r="I9" t="s">
        <v>22</v>
      </c>
      <c r="J9" t="s">
        <v>42</v>
      </c>
      <c r="K9" t="s">
        <v>28</v>
      </c>
      <c r="L9">
        <v>11435.86</v>
      </c>
      <c r="M9" s="1">
        <v>43679</v>
      </c>
      <c r="N9" t="s">
        <v>47</v>
      </c>
      <c r="O9" t="s">
        <v>45</v>
      </c>
      <c r="Q9" s="1">
        <v>43852</v>
      </c>
    </row>
    <row r="10" spans="1:17" x14ac:dyDescent="0.5">
      <c r="A10" t="s">
        <v>48</v>
      </c>
      <c r="B10">
        <v>2250010276</v>
      </c>
      <c r="C10" t="s">
        <v>19</v>
      </c>
      <c r="D10" s="1">
        <v>43215</v>
      </c>
      <c r="E10" s="1">
        <v>43579</v>
      </c>
      <c r="F10" t="s">
        <v>36</v>
      </c>
      <c r="G10">
        <v>1</v>
      </c>
      <c r="H10" t="s">
        <v>21</v>
      </c>
      <c r="I10" t="s">
        <v>22</v>
      </c>
      <c r="J10" t="s">
        <v>42</v>
      </c>
      <c r="K10" t="s">
        <v>23</v>
      </c>
      <c r="L10">
        <v>847.38</v>
      </c>
      <c r="M10" s="1">
        <v>43215</v>
      </c>
      <c r="N10" t="s">
        <v>24</v>
      </c>
      <c r="O10" t="s">
        <v>25</v>
      </c>
      <c r="Q10" s="1">
        <v>43852</v>
      </c>
    </row>
    <row r="11" spans="1:17" x14ac:dyDescent="0.5">
      <c r="A11" t="s">
        <v>49</v>
      </c>
      <c r="B11" t="s">
        <v>50</v>
      </c>
      <c r="C11" t="s">
        <v>31</v>
      </c>
      <c r="D11" s="1">
        <v>43215</v>
      </c>
      <c r="E11" s="1">
        <v>43579</v>
      </c>
      <c r="F11" t="s">
        <v>20</v>
      </c>
      <c r="G11">
        <v>1</v>
      </c>
      <c r="H11" t="s">
        <v>21</v>
      </c>
      <c r="I11" t="s">
        <v>22</v>
      </c>
      <c r="J11" t="s">
        <v>20</v>
      </c>
      <c r="K11" t="s">
        <v>23</v>
      </c>
      <c r="L11">
        <v>9900</v>
      </c>
      <c r="M11" s="1">
        <v>43215</v>
      </c>
      <c r="N11" t="s">
        <v>24</v>
      </c>
      <c r="O11" t="s">
        <v>25</v>
      </c>
      <c r="Q11" s="1">
        <v>43852</v>
      </c>
    </row>
    <row r="12" spans="1:17" x14ac:dyDescent="0.5">
      <c r="A12" t="s">
        <v>51</v>
      </c>
      <c r="B12" t="s">
        <v>52</v>
      </c>
      <c r="C12" t="s">
        <v>19</v>
      </c>
      <c r="D12" s="1">
        <v>43476</v>
      </c>
      <c r="E12" s="1">
        <v>43840</v>
      </c>
      <c r="F12" t="s">
        <v>20</v>
      </c>
      <c r="G12">
        <v>1</v>
      </c>
      <c r="H12" t="s">
        <v>21</v>
      </c>
      <c r="I12" t="s">
        <v>22</v>
      </c>
      <c r="J12" t="s">
        <v>20</v>
      </c>
      <c r="K12" t="s">
        <v>23</v>
      </c>
      <c r="L12">
        <v>8250</v>
      </c>
      <c r="M12" s="1">
        <v>43476</v>
      </c>
      <c r="N12" t="s">
        <v>24</v>
      </c>
      <c r="O12" t="s">
        <v>23</v>
      </c>
      <c r="Q12" s="1">
        <v>43852</v>
      </c>
    </row>
    <row r="13" spans="1:17" x14ac:dyDescent="0.5">
      <c r="A13" t="s">
        <v>53</v>
      </c>
      <c r="B13">
        <v>91001900000001</v>
      </c>
      <c r="C13" t="s">
        <v>19</v>
      </c>
      <c r="D13" s="1">
        <v>43215</v>
      </c>
      <c r="E13" s="1">
        <v>43579</v>
      </c>
      <c r="F13" t="s">
        <v>32</v>
      </c>
      <c r="G13">
        <v>1</v>
      </c>
      <c r="H13" t="s">
        <v>21</v>
      </c>
      <c r="I13" t="s">
        <v>22</v>
      </c>
      <c r="J13" t="s">
        <v>54</v>
      </c>
      <c r="K13" t="s">
        <v>23</v>
      </c>
      <c r="L13">
        <v>4093.2</v>
      </c>
      <c r="M13" s="1">
        <v>43215</v>
      </c>
      <c r="N13" t="s">
        <v>24</v>
      </c>
      <c r="O13" t="s">
        <v>25</v>
      </c>
      <c r="Q13" s="1">
        <v>43852</v>
      </c>
    </row>
    <row r="14" spans="1:17" x14ac:dyDescent="0.5">
      <c r="A14" t="s">
        <v>55</v>
      </c>
      <c r="B14">
        <v>2280062933</v>
      </c>
      <c r="C14" t="s">
        <v>19</v>
      </c>
      <c r="D14" s="1">
        <v>43605</v>
      </c>
      <c r="E14" s="1">
        <v>43970</v>
      </c>
      <c r="F14" t="s">
        <v>36</v>
      </c>
      <c r="G14">
        <v>1</v>
      </c>
      <c r="H14" t="s">
        <v>21</v>
      </c>
      <c r="I14" t="s">
        <v>22</v>
      </c>
      <c r="J14" t="s">
        <v>37</v>
      </c>
      <c r="K14" t="s">
        <v>23</v>
      </c>
      <c r="L14">
        <v>8117</v>
      </c>
      <c r="M14" s="1">
        <v>43850</v>
      </c>
      <c r="N14" t="s">
        <v>24</v>
      </c>
      <c r="O14" t="s">
        <v>23</v>
      </c>
      <c r="Q14" s="1">
        <v>43852</v>
      </c>
    </row>
    <row r="15" spans="1:17" x14ac:dyDescent="0.5">
      <c r="A15" t="s">
        <v>56</v>
      </c>
      <c r="B15" t="s">
        <v>57</v>
      </c>
      <c r="C15" t="s">
        <v>31</v>
      </c>
      <c r="D15" s="1">
        <v>43240</v>
      </c>
      <c r="E15" s="1">
        <v>43604</v>
      </c>
      <c r="F15" t="s">
        <v>36</v>
      </c>
      <c r="G15">
        <v>1</v>
      </c>
      <c r="H15" t="s">
        <v>21</v>
      </c>
      <c r="I15" t="s">
        <v>22</v>
      </c>
      <c r="J15" t="s">
        <v>37</v>
      </c>
      <c r="K15" t="s">
        <v>23</v>
      </c>
      <c r="L15">
        <v>6101.25</v>
      </c>
      <c r="M15" s="1">
        <v>43240</v>
      </c>
      <c r="N15" t="s">
        <v>24</v>
      </c>
      <c r="O15" t="s">
        <v>25</v>
      </c>
      <c r="Q15" s="1">
        <v>43852</v>
      </c>
    </row>
    <row r="16" spans="1:17" x14ac:dyDescent="0.5">
      <c r="A16" t="s">
        <v>58</v>
      </c>
      <c r="B16" t="s">
        <v>59</v>
      </c>
      <c r="C16" t="s">
        <v>19</v>
      </c>
      <c r="D16" s="1">
        <v>43263</v>
      </c>
      <c r="E16" s="1">
        <v>43627</v>
      </c>
      <c r="F16" t="s">
        <v>20</v>
      </c>
      <c r="G16">
        <v>9</v>
      </c>
      <c r="H16" t="s">
        <v>60</v>
      </c>
      <c r="I16" t="s">
        <v>22</v>
      </c>
      <c r="J16" t="s">
        <v>61</v>
      </c>
      <c r="K16" t="s">
        <v>23</v>
      </c>
      <c r="L16">
        <v>1980</v>
      </c>
      <c r="M16" s="1">
        <v>43263</v>
      </c>
      <c r="N16" t="s">
        <v>24</v>
      </c>
      <c r="O16" t="s">
        <v>45</v>
      </c>
      <c r="Q16" s="1">
        <v>43852</v>
      </c>
    </row>
    <row r="17" spans="1:17" x14ac:dyDescent="0.5">
      <c r="A17" t="s">
        <v>62</v>
      </c>
      <c r="B17" t="s">
        <v>59</v>
      </c>
      <c r="C17" t="s">
        <v>19</v>
      </c>
      <c r="D17" s="1">
        <v>43263</v>
      </c>
      <c r="E17" s="1">
        <v>43627</v>
      </c>
      <c r="F17" t="s">
        <v>20</v>
      </c>
      <c r="G17">
        <v>9</v>
      </c>
      <c r="H17" t="s">
        <v>60</v>
      </c>
      <c r="I17" t="s">
        <v>22</v>
      </c>
      <c r="J17" t="s">
        <v>61</v>
      </c>
      <c r="K17" t="s">
        <v>23</v>
      </c>
      <c r="L17">
        <v>1980</v>
      </c>
      <c r="M17" s="1">
        <v>43475</v>
      </c>
      <c r="N17" t="s">
        <v>47</v>
      </c>
      <c r="O17" t="s">
        <v>45</v>
      </c>
      <c r="Q17" s="1">
        <v>43852</v>
      </c>
    </row>
    <row r="18" spans="1:17" x14ac:dyDescent="0.5">
      <c r="A18" t="s">
        <v>63</v>
      </c>
      <c r="B18">
        <v>3.1142029634361999E+18</v>
      </c>
      <c r="C18" t="s">
        <v>19</v>
      </c>
      <c r="D18" s="1">
        <v>43703</v>
      </c>
      <c r="E18" s="1">
        <v>44068</v>
      </c>
      <c r="F18" t="s">
        <v>36</v>
      </c>
      <c r="G18">
        <v>3</v>
      </c>
      <c r="H18" t="s">
        <v>64</v>
      </c>
      <c r="I18" t="s">
        <v>22</v>
      </c>
      <c r="J18" t="s">
        <v>65</v>
      </c>
      <c r="K18" t="s">
        <v>66</v>
      </c>
      <c r="L18">
        <v>2089.25</v>
      </c>
      <c r="M18" s="1">
        <v>43703</v>
      </c>
      <c r="N18" t="s">
        <v>24</v>
      </c>
      <c r="O18" t="s">
        <v>25</v>
      </c>
      <c r="Q18" s="1">
        <v>43852</v>
      </c>
    </row>
    <row r="19" spans="1:17" x14ac:dyDescent="0.5">
      <c r="A19" t="s">
        <v>67</v>
      </c>
      <c r="B19" t="s">
        <v>68</v>
      </c>
      <c r="C19" t="s">
        <v>19</v>
      </c>
      <c r="D19" s="1">
        <v>43466</v>
      </c>
      <c r="E19" s="1">
        <v>43830</v>
      </c>
      <c r="F19" t="s">
        <v>20</v>
      </c>
      <c r="G19">
        <v>3</v>
      </c>
      <c r="H19" t="s">
        <v>64</v>
      </c>
      <c r="I19" t="s">
        <v>22</v>
      </c>
      <c r="J19" t="s">
        <v>65</v>
      </c>
      <c r="K19" t="s">
        <v>66</v>
      </c>
      <c r="L19">
        <v>21768.61</v>
      </c>
      <c r="M19" s="1">
        <v>43466</v>
      </c>
      <c r="N19" t="s">
        <v>24</v>
      </c>
      <c r="O19" t="s">
        <v>25</v>
      </c>
      <c r="Q19" s="1">
        <v>43852</v>
      </c>
    </row>
    <row r="20" spans="1:17" x14ac:dyDescent="0.5">
      <c r="A20" t="s">
        <v>69</v>
      </c>
      <c r="B20" t="s">
        <v>70</v>
      </c>
      <c r="C20" t="s">
        <v>19</v>
      </c>
      <c r="D20" s="1">
        <v>43466</v>
      </c>
      <c r="E20" s="1">
        <v>43830</v>
      </c>
      <c r="F20" t="s">
        <v>37</v>
      </c>
      <c r="G20">
        <v>3</v>
      </c>
      <c r="H20" t="s">
        <v>64</v>
      </c>
      <c r="I20" t="s">
        <v>22</v>
      </c>
      <c r="J20" t="s">
        <v>65</v>
      </c>
      <c r="K20" t="s">
        <v>66</v>
      </c>
      <c r="L20">
        <v>12019.2</v>
      </c>
      <c r="M20" s="1">
        <v>43466</v>
      </c>
      <c r="N20" t="s">
        <v>24</v>
      </c>
      <c r="O20" t="s">
        <v>25</v>
      </c>
      <c r="Q20" s="1">
        <v>43852</v>
      </c>
    </row>
    <row r="21" spans="1:17" x14ac:dyDescent="0.5">
      <c r="A21" t="s">
        <v>71</v>
      </c>
      <c r="B21">
        <v>640002371</v>
      </c>
      <c r="C21" t="s">
        <v>19</v>
      </c>
      <c r="D21" s="1">
        <v>43191</v>
      </c>
      <c r="E21" s="1">
        <v>43555</v>
      </c>
      <c r="F21" t="s">
        <v>36</v>
      </c>
      <c r="G21">
        <v>3</v>
      </c>
      <c r="H21" t="s">
        <v>64</v>
      </c>
      <c r="I21" t="s">
        <v>22</v>
      </c>
      <c r="J21" t="s">
        <v>65</v>
      </c>
      <c r="K21" t="s">
        <v>23</v>
      </c>
      <c r="L21">
        <v>66937.72</v>
      </c>
      <c r="M21" s="1">
        <v>43191</v>
      </c>
      <c r="N21" t="s">
        <v>24</v>
      </c>
      <c r="O21" t="s">
        <v>25</v>
      </c>
      <c r="Q21" s="1">
        <v>43852</v>
      </c>
    </row>
    <row r="22" spans="1:17" x14ac:dyDescent="0.5">
      <c r="A22" t="s">
        <v>72</v>
      </c>
      <c r="B22" t="s">
        <v>73</v>
      </c>
      <c r="C22" t="s">
        <v>19</v>
      </c>
      <c r="D22" s="1">
        <v>43231</v>
      </c>
      <c r="E22" s="1">
        <v>43595</v>
      </c>
      <c r="F22" t="s">
        <v>20</v>
      </c>
      <c r="G22">
        <v>3</v>
      </c>
      <c r="H22" t="s">
        <v>64</v>
      </c>
      <c r="I22" t="s">
        <v>22</v>
      </c>
      <c r="J22" t="s">
        <v>65</v>
      </c>
      <c r="K22" t="s">
        <v>23</v>
      </c>
      <c r="L22">
        <v>78374.84</v>
      </c>
      <c r="M22" s="1">
        <v>43231</v>
      </c>
      <c r="N22" t="s">
        <v>24</v>
      </c>
      <c r="O22" t="s">
        <v>25</v>
      </c>
      <c r="Q22" s="1">
        <v>43852</v>
      </c>
    </row>
    <row r="23" spans="1:17" x14ac:dyDescent="0.5">
      <c r="A23" t="s">
        <v>74</v>
      </c>
      <c r="B23" t="s">
        <v>75</v>
      </c>
      <c r="C23" t="s">
        <v>31</v>
      </c>
      <c r="D23" s="1">
        <v>43191</v>
      </c>
      <c r="E23" s="1">
        <v>43555</v>
      </c>
      <c r="F23" t="s">
        <v>40</v>
      </c>
      <c r="G23">
        <v>10</v>
      </c>
      <c r="H23" t="s">
        <v>41</v>
      </c>
      <c r="I23" t="s">
        <v>22</v>
      </c>
      <c r="J23" t="s">
        <v>42</v>
      </c>
      <c r="K23" t="s">
        <v>23</v>
      </c>
      <c r="L23">
        <v>60000</v>
      </c>
      <c r="M23" s="1">
        <v>43191</v>
      </c>
      <c r="N23" t="s">
        <v>24</v>
      </c>
      <c r="O23" t="s">
        <v>25</v>
      </c>
      <c r="Q23" s="1">
        <v>43852</v>
      </c>
    </row>
    <row r="24" spans="1:17" x14ac:dyDescent="0.5">
      <c r="A24" t="s">
        <v>76</v>
      </c>
      <c r="B24" t="s">
        <v>77</v>
      </c>
      <c r="C24" t="s">
        <v>19</v>
      </c>
      <c r="D24" s="1">
        <v>43556</v>
      </c>
      <c r="E24" s="1">
        <v>43921</v>
      </c>
      <c r="F24" t="s">
        <v>40</v>
      </c>
      <c r="G24">
        <v>10</v>
      </c>
      <c r="H24" t="s">
        <v>41</v>
      </c>
      <c r="I24" t="s">
        <v>22</v>
      </c>
      <c r="J24" t="s">
        <v>42</v>
      </c>
      <c r="K24" t="s">
        <v>23</v>
      </c>
      <c r="L24">
        <v>60000</v>
      </c>
      <c r="M24" s="1">
        <v>43556</v>
      </c>
      <c r="N24" t="s">
        <v>24</v>
      </c>
      <c r="O24" t="s">
        <v>23</v>
      </c>
      <c r="Q24" s="1">
        <v>43852</v>
      </c>
    </row>
    <row r="25" spans="1:17" x14ac:dyDescent="0.5">
      <c r="A25" t="s">
        <v>78</v>
      </c>
      <c r="B25" t="s">
        <v>77</v>
      </c>
      <c r="C25" t="s">
        <v>19</v>
      </c>
      <c r="D25" s="1">
        <v>43556</v>
      </c>
      <c r="E25" s="1">
        <v>43921</v>
      </c>
      <c r="F25" t="s">
        <v>40</v>
      </c>
      <c r="G25">
        <v>10</v>
      </c>
      <c r="H25" t="s">
        <v>41</v>
      </c>
      <c r="I25" t="s">
        <v>22</v>
      </c>
      <c r="J25" t="s">
        <v>42</v>
      </c>
      <c r="K25" t="s">
        <v>23</v>
      </c>
      <c r="L25">
        <v>60000</v>
      </c>
      <c r="M25" s="1">
        <v>43556</v>
      </c>
      <c r="N25" t="s">
        <v>24</v>
      </c>
      <c r="O25" t="s">
        <v>23</v>
      </c>
      <c r="Q25" s="1">
        <v>43852</v>
      </c>
    </row>
    <row r="26" spans="1:17" x14ac:dyDescent="0.5">
      <c r="A26" t="s">
        <v>79</v>
      </c>
      <c r="B26">
        <v>2250002346</v>
      </c>
      <c r="C26" t="s">
        <v>19</v>
      </c>
      <c r="D26" s="1">
        <v>43191</v>
      </c>
      <c r="E26" s="1">
        <v>43555</v>
      </c>
      <c r="F26" t="s">
        <v>36</v>
      </c>
      <c r="G26">
        <v>3</v>
      </c>
      <c r="H26" t="s">
        <v>64</v>
      </c>
      <c r="I26" t="s">
        <v>22</v>
      </c>
      <c r="J26" t="s">
        <v>65</v>
      </c>
      <c r="K26" t="s">
        <v>23</v>
      </c>
      <c r="L26">
        <v>4715.63</v>
      </c>
      <c r="M26" s="1">
        <v>43191</v>
      </c>
      <c r="N26" t="s">
        <v>24</v>
      </c>
      <c r="O26" t="s">
        <v>25</v>
      </c>
      <c r="Q26" s="1">
        <v>43852</v>
      </c>
    </row>
    <row r="27" spans="1:17" x14ac:dyDescent="0.5">
      <c r="A27" t="s">
        <v>80</v>
      </c>
      <c r="B27">
        <v>3.1242014203059999E+18</v>
      </c>
      <c r="C27" t="s">
        <v>19</v>
      </c>
      <c r="D27" s="1">
        <v>43191</v>
      </c>
      <c r="E27" s="1">
        <v>43555</v>
      </c>
      <c r="F27" t="s">
        <v>37</v>
      </c>
      <c r="G27">
        <v>3</v>
      </c>
      <c r="H27" t="s">
        <v>64</v>
      </c>
      <c r="I27" t="s">
        <v>22</v>
      </c>
      <c r="J27" t="s">
        <v>65</v>
      </c>
      <c r="K27" t="s">
        <v>23</v>
      </c>
      <c r="L27">
        <v>22755.25</v>
      </c>
      <c r="M27" s="1">
        <v>43191</v>
      </c>
      <c r="N27" t="s">
        <v>24</v>
      </c>
      <c r="O27" t="s">
        <v>25</v>
      </c>
      <c r="Q27" s="1">
        <v>43852</v>
      </c>
    </row>
    <row r="28" spans="1:17" x14ac:dyDescent="0.5">
      <c r="A28" t="s">
        <v>81</v>
      </c>
      <c r="B28" t="s">
        <v>82</v>
      </c>
      <c r="C28" t="s">
        <v>19</v>
      </c>
      <c r="D28" s="1">
        <v>43191</v>
      </c>
      <c r="E28" s="1">
        <v>43555</v>
      </c>
      <c r="F28" t="s">
        <v>37</v>
      </c>
      <c r="G28">
        <v>12</v>
      </c>
      <c r="H28" t="s">
        <v>83</v>
      </c>
      <c r="I28" t="s">
        <v>22</v>
      </c>
      <c r="J28" t="s">
        <v>65</v>
      </c>
      <c r="K28" t="s">
        <v>23</v>
      </c>
      <c r="L28">
        <v>26443.63</v>
      </c>
      <c r="M28" s="1">
        <v>43191</v>
      </c>
      <c r="N28" t="s">
        <v>24</v>
      </c>
      <c r="O28" t="s">
        <v>25</v>
      </c>
      <c r="Q28" s="1">
        <v>43852</v>
      </c>
    </row>
    <row r="29" spans="1:17" x14ac:dyDescent="0.5">
      <c r="A29" t="s">
        <v>84</v>
      </c>
      <c r="B29" t="s">
        <v>85</v>
      </c>
      <c r="C29" t="s">
        <v>31</v>
      </c>
      <c r="D29" s="1">
        <v>43196</v>
      </c>
      <c r="E29" s="1">
        <v>43560</v>
      </c>
      <c r="F29" t="s">
        <v>20</v>
      </c>
      <c r="G29">
        <v>1</v>
      </c>
      <c r="H29" t="s">
        <v>21</v>
      </c>
      <c r="I29" t="s">
        <v>22</v>
      </c>
      <c r="J29" t="s">
        <v>20</v>
      </c>
      <c r="K29" t="s">
        <v>23</v>
      </c>
      <c r="L29">
        <v>49499.839999999997</v>
      </c>
      <c r="M29" s="1">
        <v>43196</v>
      </c>
      <c r="N29" t="s">
        <v>24</v>
      </c>
      <c r="O29" t="s">
        <v>45</v>
      </c>
      <c r="Q29" s="1">
        <v>43852</v>
      </c>
    </row>
    <row r="30" spans="1:17" x14ac:dyDescent="0.5">
      <c r="A30" t="s">
        <v>86</v>
      </c>
      <c r="B30" t="s">
        <v>85</v>
      </c>
      <c r="C30" t="s">
        <v>31</v>
      </c>
      <c r="D30" s="1">
        <v>43196</v>
      </c>
      <c r="E30" s="1">
        <v>43560</v>
      </c>
      <c r="F30" t="s">
        <v>20</v>
      </c>
      <c r="G30">
        <v>1</v>
      </c>
      <c r="H30" t="s">
        <v>21</v>
      </c>
      <c r="I30" t="s">
        <v>22</v>
      </c>
      <c r="J30" t="s">
        <v>20</v>
      </c>
      <c r="K30" t="s">
        <v>23</v>
      </c>
      <c r="M30" s="1">
        <v>43384</v>
      </c>
      <c r="N30" t="s">
        <v>47</v>
      </c>
      <c r="O30" t="s">
        <v>45</v>
      </c>
      <c r="Q30" s="1">
        <v>43852</v>
      </c>
    </row>
    <row r="31" spans="1:17" x14ac:dyDescent="0.5">
      <c r="A31" t="s">
        <v>87</v>
      </c>
      <c r="B31" t="s">
        <v>85</v>
      </c>
      <c r="C31" t="s">
        <v>31</v>
      </c>
      <c r="D31" s="1">
        <v>43196</v>
      </c>
      <c r="E31" s="1">
        <v>43560</v>
      </c>
      <c r="F31" t="s">
        <v>20</v>
      </c>
      <c r="G31">
        <v>1</v>
      </c>
      <c r="H31" t="s">
        <v>21</v>
      </c>
      <c r="I31" t="s">
        <v>22</v>
      </c>
      <c r="J31" t="s">
        <v>20</v>
      </c>
      <c r="K31" t="s">
        <v>23</v>
      </c>
      <c r="L31">
        <v>16500</v>
      </c>
      <c r="M31" s="1">
        <v>43482</v>
      </c>
      <c r="N31" t="s">
        <v>47</v>
      </c>
      <c r="O31" t="s">
        <v>45</v>
      </c>
      <c r="Q31" s="1">
        <v>43852</v>
      </c>
    </row>
    <row r="32" spans="1:17" x14ac:dyDescent="0.5">
      <c r="A32" t="s">
        <v>88</v>
      </c>
      <c r="B32" t="s">
        <v>89</v>
      </c>
      <c r="C32" t="s">
        <v>19</v>
      </c>
      <c r="D32" s="1">
        <v>43561</v>
      </c>
      <c r="E32" s="1">
        <v>43926</v>
      </c>
      <c r="F32" t="s">
        <v>20</v>
      </c>
      <c r="G32">
        <v>1</v>
      </c>
      <c r="H32" t="s">
        <v>21</v>
      </c>
      <c r="I32" t="s">
        <v>22</v>
      </c>
      <c r="J32" t="s">
        <v>20</v>
      </c>
      <c r="K32" t="s">
        <v>23</v>
      </c>
      <c r="L32">
        <v>26400</v>
      </c>
      <c r="M32" s="1">
        <v>43561</v>
      </c>
      <c r="N32" t="s">
        <v>24</v>
      </c>
      <c r="O32" t="s">
        <v>23</v>
      </c>
      <c r="Q32" s="1">
        <v>43852</v>
      </c>
    </row>
    <row r="33" spans="1:17" x14ac:dyDescent="0.5">
      <c r="A33" t="s">
        <v>90</v>
      </c>
      <c r="B33" t="s">
        <v>91</v>
      </c>
      <c r="C33" t="s">
        <v>19</v>
      </c>
      <c r="D33" s="1">
        <v>43332</v>
      </c>
      <c r="E33" s="1">
        <v>43696</v>
      </c>
      <c r="F33" t="s">
        <v>20</v>
      </c>
      <c r="G33">
        <v>1</v>
      </c>
      <c r="H33" t="s">
        <v>21</v>
      </c>
      <c r="I33" t="s">
        <v>22</v>
      </c>
      <c r="J33" t="s">
        <v>20</v>
      </c>
      <c r="K33" t="s">
        <v>23</v>
      </c>
      <c r="L33">
        <v>3300</v>
      </c>
      <c r="M33" s="1">
        <v>43332</v>
      </c>
      <c r="N33" t="s">
        <v>24</v>
      </c>
      <c r="O33" t="s">
        <v>25</v>
      </c>
      <c r="Q33" s="1">
        <v>43852</v>
      </c>
    </row>
    <row r="34" spans="1:17" x14ac:dyDescent="0.5">
      <c r="A34" t="s">
        <v>92</v>
      </c>
      <c r="B34" t="s">
        <v>93</v>
      </c>
      <c r="C34" t="s">
        <v>19</v>
      </c>
      <c r="D34" s="1">
        <v>43354</v>
      </c>
      <c r="E34" s="1">
        <v>43718</v>
      </c>
      <c r="F34" t="s">
        <v>20</v>
      </c>
      <c r="G34">
        <v>1</v>
      </c>
      <c r="H34" t="s">
        <v>21</v>
      </c>
      <c r="I34" t="s">
        <v>22</v>
      </c>
      <c r="J34" t="s">
        <v>20</v>
      </c>
      <c r="K34" t="s">
        <v>23</v>
      </c>
      <c r="L34">
        <v>1072.5</v>
      </c>
      <c r="M34" s="1">
        <v>43354</v>
      </c>
      <c r="N34" t="s">
        <v>24</v>
      </c>
      <c r="O34" t="s">
        <v>25</v>
      </c>
      <c r="Q34" s="1">
        <v>43852</v>
      </c>
    </row>
    <row r="35" spans="1:17" x14ac:dyDescent="0.5">
      <c r="A35" t="s">
        <v>94</v>
      </c>
      <c r="B35" t="s">
        <v>95</v>
      </c>
      <c r="C35" t="s">
        <v>19</v>
      </c>
      <c r="D35" s="1">
        <v>43186</v>
      </c>
      <c r="E35" s="1">
        <v>43550</v>
      </c>
      <c r="F35" t="s">
        <v>32</v>
      </c>
      <c r="G35">
        <v>1</v>
      </c>
      <c r="H35" t="s">
        <v>21</v>
      </c>
      <c r="I35" t="s">
        <v>22</v>
      </c>
      <c r="J35" t="s">
        <v>54</v>
      </c>
      <c r="K35" t="s">
        <v>23</v>
      </c>
      <c r="L35">
        <v>4002.46</v>
      </c>
      <c r="M35" s="1">
        <v>43186</v>
      </c>
      <c r="N35" t="s">
        <v>24</v>
      </c>
      <c r="O35" t="s">
        <v>25</v>
      </c>
      <c r="Q35" s="1">
        <v>43852</v>
      </c>
    </row>
    <row r="36" spans="1:17" x14ac:dyDescent="0.5">
      <c r="A36" t="s">
        <v>96</v>
      </c>
      <c r="B36">
        <v>3.1030411181E+17</v>
      </c>
      <c r="C36" t="s">
        <v>19</v>
      </c>
      <c r="D36" s="1">
        <v>43326</v>
      </c>
      <c r="E36" s="1">
        <v>43690</v>
      </c>
      <c r="F36" t="s">
        <v>32</v>
      </c>
      <c r="G36">
        <v>1</v>
      </c>
      <c r="H36" t="s">
        <v>21</v>
      </c>
      <c r="I36" t="s">
        <v>22</v>
      </c>
      <c r="J36" t="s">
        <v>54</v>
      </c>
      <c r="K36" t="s">
        <v>23</v>
      </c>
      <c r="L36">
        <v>1374.25</v>
      </c>
      <c r="M36" s="1">
        <v>43326</v>
      </c>
      <c r="N36" t="s">
        <v>24</v>
      </c>
      <c r="O36" t="s">
        <v>25</v>
      </c>
      <c r="Q36" s="1">
        <v>43852</v>
      </c>
    </row>
    <row r="37" spans="1:17" x14ac:dyDescent="0.5">
      <c r="A37" t="s">
        <v>97</v>
      </c>
      <c r="B37">
        <v>3.1030459171000003E+18</v>
      </c>
      <c r="C37" t="s">
        <v>19</v>
      </c>
      <c r="D37" s="1">
        <v>43186</v>
      </c>
      <c r="E37" s="1">
        <v>43550</v>
      </c>
      <c r="F37" t="s">
        <v>32</v>
      </c>
      <c r="G37">
        <v>1</v>
      </c>
      <c r="H37" t="s">
        <v>21</v>
      </c>
      <c r="I37" t="s">
        <v>22</v>
      </c>
      <c r="J37" t="s">
        <v>54</v>
      </c>
      <c r="K37" t="s">
        <v>66</v>
      </c>
      <c r="L37">
        <v>566.25</v>
      </c>
      <c r="M37" s="1">
        <v>43186</v>
      </c>
      <c r="N37" t="s">
        <v>24</v>
      </c>
      <c r="O37" t="s">
        <v>25</v>
      </c>
      <c r="Q37" s="1">
        <v>43852</v>
      </c>
    </row>
    <row r="38" spans="1:17" x14ac:dyDescent="0.5">
      <c r="A38" t="s">
        <v>98</v>
      </c>
      <c r="B38" t="s">
        <v>99</v>
      </c>
      <c r="C38" t="s">
        <v>19</v>
      </c>
      <c r="D38" s="1">
        <v>43326</v>
      </c>
      <c r="E38" s="1">
        <v>43690</v>
      </c>
      <c r="F38" t="s">
        <v>36</v>
      </c>
      <c r="G38">
        <v>1</v>
      </c>
      <c r="H38" t="s">
        <v>21</v>
      </c>
      <c r="I38" t="s">
        <v>22</v>
      </c>
      <c r="J38" t="s">
        <v>54</v>
      </c>
      <c r="K38" t="s">
        <v>23</v>
      </c>
      <c r="L38">
        <v>445</v>
      </c>
      <c r="M38" s="1">
        <v>43326</v>
      </c>
      <c r="N38" t="s">
        <v>24</v>
      </c>
      <c r="O38" t="s">
        <v>25</v>
      </c>
      <c r="Q38" s="1">
        <v>43852</v>
      </c>
    </row>
    <row r="39" spans="1:17" x14ac:dyDescent="0.5">
      <c r="A39" t="s">
        <v>100</v>
      </c>
      <c r="B39" t="s">
        <v>101</v>
      </c>
      <c r="C39" t="s">
        <v>19</v>
      </c>
      <c r="D39" s="1">
        <v>43709</v>
      </c>
      <c r="E39" s="1">
        <v>44074</v>
      </c>
      <c r="F39" t="s">
        <v>32</v>
      </c>
      <c r="G39">
        <v>1</v>
      </c>
      <c r="H39" t="s">
        <v>21</v>
      </c>
      <c r="I39" t="s">
        <v>22</v>
      </c>
      <c r="J39" t="s">
        <v>54</v>
      </c>
      <c r="K39" t="s">
        <v>23</v>
      </c>
      <c r="L39">
        <v>13114.95</v>
      </c>
      <c r="M39" s="1">
        <v>43709</v>
      </c>
      <c r="N39" t="s">
        <v>24</v>
      </c>
      <c r="O39" t="s">
        <v>23</v>
      </c>
      <c r="Q39" s="1">
        <v>43852</v>
      </c>
    </row>
    <row r="40" spans="1:17" x14ac:dyDescent="0.5">
      <c r="A40" t="s">
        <v>102</v>
      </c>
      <c r="B40">
        <v>3.1030411181E+17</v>
      </c>
      <c r="C40" t="s">
        <v>31</v>
      </c>
      <c r="D40" s="1">
        <v>43344</v>
      </c>
      <c r="E40" s="1">
        <v>43708</v>
      </c>
      <c r="F40" t="s">
        <v>32</v>
      </c>
      <c r="G40">
        <v>1</v>
      </c>
      <c r="H40" t="s">
        <v>21</v>
      </c>
      <c r="I40" t="s">
        <v>22</v>
      </c>
      <c r="J40" t="s">
        <v>54</v>
      </c>
      <c r="K40" t="s">
        <v>23</v>
      </c>
      <c r="L40">
        <v>2049.42</v>
      </c>
      <c r="M40" s="1">
        <v>43344</v>
      </c>
      <c r="N40" t="s">
        <v>24</v>
      </c>
      <c r="O40" t="s">
        <v>25</v>
      </c>
      <c r="Q40" s="1">
        <v>43852</v>
      </c>
    </row>
    <row r="41" spans="1:17" x14ac:dyDescent="0.5">
      <c r="A41" t="s">
        <v>103</v>
      </c>
      <c r="B41">
        <v>301002850</v>
      </c>
      <c r="C41" t="s">
        <v>19</v>
      </c>
      <c r="D41" s="1">
        <v>43313</v>
      </c>
      <c r="E41" s="1">
        <v>43677</v>
      </c>
      <c r="F41" t="s">
        <v>37</v>
      </c>
      <c r="G41">
        <v>6</v>
      </c>
      <c r="H41" t="s">
        <v>104</v>
      </c>
      <c r="I41" t="s">
        <v>22</v>
      </c>
      <c r="J41" t="s">
        <v>37</v>
      </c>
      <c r="K41" t="s">
        <v>23</v>
      </c>
      <c r="L41">
        <v>61425</v>
      </c>
      <c r="M41" s="1">
        <v>43313</v>
      </c>
      <c r="N41" t="s">
        <v>24</v>
      </c>
      <c r="O41" t="s">
        <v>25</v>
      </c>
      <c r="Q41" s="1">
        <v>43852</v>
      </c>
    </row>
    <row r="42" spans="1:17" x14ac:dyDescent="0.5">
      <c r="A42" t="s">
        <v>105</v>
      </c>
      <c r="B42">
        <v>2.4122019374572001E+18</v>
      </c>
      <c r="C42" t="s">
        <v>19</v>
      </c>
      <c r="D42" s="1">
        <v>43370</v>
      </c>
      <c r="E42" s="1">
        <v>43734</v>
      </c>
      <c r="F42" t="s">
        <v>20</v>
      </c>
      <c r="G42">
        <v>1</v>
      </c>
      <c r="H42" t="s">
        <v>21</v>
      </c>
      <c r="I42" t="s">
        <v>22</v>
      </c>
      <c r="J42" t="s">
        <v>20</v>
      </c>
      <c r="K42" t="s">
        <v>23</v>
      </c>
      <c r="L42">
        <v>1650</v>
      </c>
      <c r="M42" s="1">
        <v>43370</v>
      </c>
      <c r="N42" t="s">
        <v>24</v>
      </c>
      <c r="O42" t="s">
        <v>25</v>
      </c>
      <c r="Q42" s="1">
        <v>43852</v>
      </c>
    </row>
    <row r="43" spans="1:17" x14ac:dyDescent="0.5">
      <c r="A43" t="s">
        <v>106</v>
      </c>
      <c r="B43" t="s">
        <v>107</v>
      </c>
      <c r="C43" t="s">
        <v>31</v>
      </c>
      <c r="D43" s="1">
        <v>43160</v>
      </c>
      <c r="E43" s="1">
        <v>43524</v>
      </c>
      <c r="F43" t="s">
        <v>20</v>
      </c>
      <c r="G43">
        <v>3</v>
      </c>
      <c r="H43" t="s">
        <v>64</v>
      </c>
      <c r="I43" t="s">
        <v>22</v>
      </c>
      <c r="J43" t="s">
        <v>65</v>
      </c>
      <c r="K43" t="s">
        <v>23</v>
      </c>
      <c r="L43">
        <v>16335</v>
      </c>
      <c r="M43" s="1">
        <v>43160</v>
      </c>
      <c r="N43" t="s">
        <v>24</v>
      </c>
      <c r="O43" t="s">
        <v>25</v>
      </c>
      <c r="Q43" s="1">
        <v>43852</v>
      </c>
    </row>
    <row r="44" spans="1:17" x14ac:dyDescent="0.5">
      <c r="A44" t="s">
        <v>108</v>
      </c>
      <c r="B44" t="s">
        <v>109</v>
      </c>
      <c r="C44" t="s">
        <v>19</v>
      </c>
      <c r="D44" s="1">
        <v>43525</v>
      </c>
      <c r="E44" s="1">
        <v>43890</v>
      </c>
      <c r="F44" t="s">
        <v>20</v>
      </c>
      <c r="G44">
        <v>3</v>
      </c>
      <c r="H44" t="s">
        <v>64</v>
      </c>
      <c r="I44" t="s">
        <v>22</v>
      </c>
      <c r="J44" t="s">
        <v>65</v>
      </c>
      <c r="K44" t="s">
        <v>23</v>
      </c>
      <c r="L44">
        <v>18562.5</v>
      </c>
      <c r="M44" s="1">
        <v>43525</v>
      </c>
      <c r="N44" t="s">
        <v>24</v>
      </c>
      <c r="O44" t="s">
        <v>23</v>
      </c>
      <c r="Q44" s="1">
        <v>43852</v>
      </c>
    </row>
    <row r="45" spans="1:17" x14ac:dyDescent="0.5">
      <c r="A45" t="s">
        <v>110</v>
      </c>
      <c r="B45" t="s">
        <v>111</v>
      </c>
      <c r="C45" t="s">
        <v>19</v>
      </c>
      <c r="D45" s="1">
        <v>43192</v>
      </c>
      <c r="E45" s="1">
        <v>43556</v>
      </c>
      <c r="F45" t="s">
        <v>37</v>
      </c>
      <c r="G45">
        <v>12</v>
      </c>
      <c r="H45" t="s">
        <v>83</v>
      </c>
      <c r="I45" t="s">
        <v>22</v>
      </c>
      <c r="J45" t="s">
        <v>65</v>
      </c>
      <c r="K45" t="s">
        <v>23</v>
      </c>
      <c r="L45">
        <v>0</v>
      </c>
      <c r="M45" s="1">
        <v>43314</v>
      </c>
      <c r="N45" t="s">
        <v>24</v>
      </c>
      <c r="O45" t="s">
        <v>25</v>
      </c>
      <c r="Q45" s="1">
        <v>43852</v>
      </c>
    </row>
    <row r="46" spans="1:17" x14ac:dyDescent="0.5">
      <c r="A46" t="s">
        <v>112</v>
      </c>
      <c r="B46" t="s">
        <v>113</v>
      </c>
      <c r="C46" t="s">
        <v>31</v>
      </c>
      <c r="D46" s="1">
        <v>43280</v>
      </c>
      <c r="E46" s="1">
        <v>43644</v>
      </c>
      <c r="F46" t="s">
        <v>40</v>
      </c>
      <c r="G46">
        <v>10</v>
      </c>
      <c r="H46" t="s">
        <v>41</v>
      </c>
      <c r="I46" t="s">
        <v>22</v>
      </c>
      <c r="J46" t="s">
        <v>42</v>
      </c>
      <c r="K46" t="s">
        <v>23</v>
      </c>
      <c r="L46">
        <v>4330.05</v>
      </c>
      <c r="M46" s="1">
        <v>43280</v>
      </c>
      <c r="N46" t="s">
        <v>24</v>
      </c>
      <c r="O46" t="s">
        <v>45</v>
      </c>
      <c r="Q46" s="1">
        <v>43852</v>
      </c>
    </row>
    <row r="47" spans="1:17" x14ac:dyDescent="0.5">
      <c r="A47" t="s">
        <v>114</v>
      </c>
      <c r="B47" t="s">
        <v>113</v>
      </c>
      <c r="C47" t="s">
        <v>31</v>
      </c>
      <c r="D47" s="1">
        <v>43280</v>
      </c>
      <c r="E47" s="1">
        <v>43644</v>
      </c>
      <c r="F47" t="s">
        <v>40</v>
      </c>
      <c r="G47">
        <v>10</v>
      </c>
      <c r="H47" t="s">
        <v>41</v>
      </c>
      <c r="I47" t="s">
        <v>22</v>
      </c>
      <c r="J47" t="s">
        <v>42</v>
      </c>
      <c r="K47" t="s">
        <v>23</v>
      </c>
      <c r="M47" s="1">
        <v>43286</v>
      </c>
      <c r="N47" t="s">
        <v>47</v>
      </c>
      <c r="O47" t="s">
        <v>45</v>
      </c>
      <c r="Q47" s="1">
        <v>43852</v>
      </c>
    </row>
    <row r="48" spans="1:17" x14ac:dyDescent="0.5">
      <c r="A48" t="s">
        <v>115</v>
      </c>
      <c r="B48" t="s">
        <v>116</v>
      </c>
      <c r="C48" t="s">
        <v>19</v>
      </c>
      <c r="D48" s="1">
        <v>43645</v>
      </c>
      <c r="E48" s="1">
        <v>44010</v>
      </c>
      <c r="F48" t="s">
        <v>40</v>
      </c>
      <c r="G48">
        <v>10</v>
      </c>
      <c r="H48" t="s">
        <v>41</v>
      </c>
      <c r="I48" t="s">
        <v>22</v>
      </c>
      <c r="J48" t="s">
        <v>42</v>
      </c>
      <c r="K48" t="s">
        <v>23</v>
      </c>
      <c r="L48">
        <v>8604.68</v>
      </c>
      <c r="M48" s="1">
        <v>43645</v>
      </c>
      <c r="N48" t="s">
        <v>24</v>
      </c>
      <c r="O48" t="s">
        <v>23</v>
      </c>
      <c r="Q48" s="1">
        <v>43852</v>
      </c>
    </row>
    <row r="49" spans="1:17" x14ac:dyDescent="0.5">
      <c r="A49" t="s">
        <v>117</v>
      </c>
      <c r="B49" t="s">
        <v>118</v>
      </c>
      <c r="C49" t="s">
        <v>31</v>
      </c>
      <c r="D49" s="1">
        <v>43280</v>
      </c>
      <c r="E49" s="1">
        <v>43644</v>
      </c>
      <c r="F49" t="s">
        <v>40</v>
      </c>
      <c r="G49">
        <v>10</v>
      </c>
      <c r="H49" t="s">
        <v>41</v>
      </c>
      <c r="I49" t="s">
        <v>22</v>
      </c>
      <c r="J49" t="s">
        <v>42</v>
      </c>
      <c r="K49" t="s">
        <v>23</v>
      </c>
      <c r="L49">
        <v>41313.599999999999</v>
      </c>
      <c r="M49" s="1">
        <v>43280</v>
      </c>
      <c r="N49" t="s">
        <v>24</v>
      </c>
      <c r="O49" t="s">
        <v>45</v>
      </c>
      <c r="Q49" s="1">
        <v>43852</v>
      </c>
    </row>
    <row r="50" spans="1:17" x14ac:dyDescent="0.5">
      <c r="A50" t="s">
        <v>119</v>
      </c>
      <c r="B50" t="s">
        <v>118</v>
      </c>
      <c r="C50" t="s">
        <v>31</v>
      </c>
      <c r="D50" s="1">
        <v>43280</v>
      </c>
      <c r="E50" s="1">
        <v>43644</v>
      </c>
      <c r="F50" t="s">
        <v>40</v>
      </c>
      <c r="G50">
        <v>10</v>
      </c>
      <c r="H50" t="s">
        <v>41</v>
      </c>
      <c r="I50" t="s">
        <v>22</v>
      </c>
      <c r="J50" t="s">
        <v>42</v>
      </c>
      <c r="K50" t="s">
        <v>23</v>
      </c>
      <c r="M50" s="1">
        <v>43312</v>
      </c>
      <c r="N50" t="s">
        <v>47</v>
      </c>
      <c r="O50" t="s">
        <v>45</v>
      </c>
      <c r="Q50" s="1">
        <v>43852</v>
      </c>
    </row>
    <row r="51" spans="1:17" x14ac:dyDescent="0.5">
      <c r="A51" t="s">
        <v>120</v>
      </c>
      <c r="B51" t="s">
        <v>121</v>
      </c>
      <c r="C51" t="s">
        <v>19</v>
      </c>
      <c r="D51" s="1">
        <v>43645</v>
      </c>
      <c r="E51" s="1">
        <v>44010</v>
      </c>
      <c r="F51" t="s">
        <v>40</v>
      </c>
      <c r="G51">
        <v>10</v>
      </c>
      <c r="H51" t="s">
        <v>41</v>
      </c>
      <c r="I51" t="s">
        <v>22</v>
      </c>
      <c r="J51" t="s">
        <v>42</v>
      </c>
      <c r="K51" t="s">
        <v>23</v>
      </c>
      <c r="L51">
        <v>74672.78</v>
      </c>
      <c r="M51" s="1">
        <v>43645</v>
      </c>
      <c r="N51" t="s">
        <v>24</v>
      </c>
      <c r="O51" t="s">
        <v>23</v>
      </c>
      <c r="Q51" s="1">
        <v>43852</v>
      </c>
    </row>
    <row r="52" spans="1:17" x14ac:dyDescent="0.5">
      <c r="A52" t="s">
        <v>122</v>
      </c>
      <c r="B52" t="s">
        <v>123</v>
      </c>
      <c r="C52" t="s">
        <v>19</v>
      </c>
      <c r="D52" s="1">
        <v>43103</v>
      </c>
      <c r="E52" s="1">
        <v>43467</v>
      </c>
      <c r="F52" t="s">
        <v>20</v>
      </c>
      <c r="G52">
        <v>12</v>
      </c>
      <c r="H52" t="s">
        <v>83</v>
      </c>
      <c r="I52" t="s">
        <v>22</v>
      </c>
      <c r="J52" t="s">
        <v>65</v>
      </c>
      <c r="K52" t="s">
        <v>23</v>
      </c>
      <c r="L52">
        <v>66622.350000000006</v>
      </c>
      <c r="M52" s="1">
        <v>43103</v>
      </c>
      <c r="N52" t="s">
        <v>24</v>
      </c>
      <c r="O52" t="s">
        <v>25</v>
      </c>
      <c r="Q52" s="1">
        <v>43852</v>
      </c>
    </row>
    <row r="53" spans="1:17" x14ac:dyDescent="0.5">
      <c r="A53" t="s">
        <v>124</v>
      </c>
      <c r="B53" t="s">
        <v>125</v>
      </c>
      <c r="C53" t="s">
        <v>19</v>
      </c>
      <c r="D53" s="1">
        <v>43191</v>
      </c>
      <c r="E53" s="1">
        <v>43555</v>
      </c>
      <c r="F53" t="s">
        <v>37</v>
      </c>
      <c r="G53">
        <v>12</v>
      </c>
      <c r="H53" t="s">
        <v>83</v>
      </c>
      <c r="I53" t="s">
        <v>22</v>
      </c>
      <c r="J53" t="s">
        <v>65</v>
      </c>
      <c r="K53" t="s">
        <v>23</v>
      </c>
      <c r="L53">
        <v>0</v>
      </c>
      <c r="M53" s="1">
        <v>43191</v>
      </c>
      <c r="N53" t="s">
        <v>24</v>
      </c>
      <c r="O53" t="s">
        <v>25</v>
      </c>
      <c r="Q53" s="1">
        <v>43852</v>
      </c>
    </row>
    <row r="54" spans="1:17" x14ac:dyDescent="0.5">
      <c r="A54" t="s">
        <v>126</v>
      </c>
      <c r="B54" t="s">
        <v>127</v>
      </c>
      <c r="C54" t="s">
        <v>31</v>
      </c>
      <c r="D54" s="1">
        <v>43405</v>
      </c>
      <c r="E54" s="1">
        <v>43769</v>
      </c>
      <c r="F54" t="s">
        <v>20</v>
      </c>
      <c r="G54">
        <v>1</v>
      </c>
      <c r="H54" t="s">
        <v>21</v>
      </c>
      <c r="I54" t="s">
        <v>22</v>
      </c>
      <c r="J54" t="s">
        <v>20</v>
      </c>
      <c r="K54" t="s">
        <v>23</v>
      </c>
      <c r="L54">
        <v>92812.5</v>
      </c>
      <c r="M54" s="1">
        <v>43405</v>
      </c>
      <c r="N54" t="s">
        <v>24</v>
      </c>
      <c r="O54" t="s">
        <v>23</v>
      </c>
      <c r="Q54" s="1">
        <v>43852</v>
      </c>
    </row>
    <row r="55" spans="1:17" x14ac:dyDescent="0.5">
      <c r="A55" t="s">
        <v>128</v>
      </c>
      <c r="B55" t="s">
        <v>129</v>
      </c>
      <c r="C55" t="s">
        <v>19</v>
      </c>
      <c r="D55" s="1">
        <v>43783</v>
      </c>
      <c r="E55" s="1">
        <v>44148</v>
      </c>
      <c r="F55" t="s">
        <v>20</v>
      </c>
      <c r="G55">
        <v>1</v>
      </c>
      <c r="H55" t="s">
        <v>21</v>
      </c>
      <c r="I55" t="s">
        <v>22</v>
      </c>
      <c r="J55" t="s">
        <v>20</v>
      </c>
      <c r="K55" t="s">
        <v>23</v>
      </c>
      <c r="L55">
        <v>18562.5</v>
      </c>
      <c r="M55" s="1">
        <v>43783</v>
      </c>
      <c r="N55" t="s">
        <v>24</v>
      </c>
      <c r="O55" t="s">
        <v>23</v>
      </c>
      <c r="Q55" s="1">
        <v>43852</v>
      </c>
    </row>
    <row r="56" spans="1:17" x14ac:dyDescent="0.5">
      <c r="A56" t="s">
        <v>130</v>
      </c>
      <c r="B56" t="s">
        <v>131</v>
      </c>
      <c r="C56" t="s">
        <v>19</v>
      </c>
      <c r="D56" s="1">
        <v>43381</v>
      </c>
      <c r="E56" s="1">
        <v>43745</v>
      </c>
      <c r="F56" t="s">
        <v>20</v>
      </c>
      <c r="G56">
        <v>1</v>
      </c>
      <c r="H56" t="s">
        <v>21</v>
      </c>
      <c r="I56" t="s">
        <v>22</v>
      </c>
      <c r="J56" t="s">
        <v>20</v>
      </c>
      <c r="K56" t="s">
        <v>23</v>
      </c>
      <c r="L56">
        <v>3526.88</v>
      </c>
      <c r="M56" s="1">
        <v>43746</v>
      </c>
      <c r="N56" t="s">
        <v>24</v>
      </c>
      <c r="O56" t="s">
        <v>23</v>
      </c>
      <c r="Q56" s="1">
        <v>43852</v>
      </c>
    </row>
    <row r="57" spans="1:17" x14ac:dyDescent="0.5">
      <c r="A57" t="s">
        <v>132</v>
      </c>
      <c r="B57" t="s">
        <v>133</v>
      </c>
      <c r="C57" t="s">
        <v>19</v>
      </c>
      <c r="D57" s="1">
        <v>43016</v>
      </c>
      <c r="E57" s="1">
        <v>43380</v>
      </c>
      <c r="F57" t="s">
        <v>20</v>
      </c>
      <c r="G57">
        <v>5</v>
      </c>
      <c r="H57" t="s">
        <v>134</v>
      </c>
      <c r="I57" t="s">
        <v>22</v>
      </c>
      <c r="J57" t="s">
        <v>20</v>
      </c>
      <c r="K57" t="s">
        <v>23</v>
      </c>
      <c r="L57">
        <v>34950.980000000003</v>
      </c>
      <c r="M57" s="1">
        <v>43016</v>
      </c>
      <c r="N57" t="s">
        <v>24</v>
      </c>
      <c r="O57" t="s">
        <v>25</v>
      </c>
      <c r="Q57" s="1">
        <v>43852</v>
      </c>
    </row>
    <row r="58" spans="1:17" x14ac:dyDescent="0.5">
      <c r="A58" t="s">
        <v>135</v>
      </c>
      <c r="B58">
        <v>22214272</v>
      </c>
      <c r="C58" t="s">
        <v>19</v>
      </c>
      <c r="D58" s="1">
        <v>43040</v>
      </c>
      <c r="E58" s="1">
        <v>43404</v>
      </c>
      <c r="F58" t="s">
        <v>20</v>
      </c>
      <c r="G58">
        <v>5</v>
      </c>
      <c r="H58" t="s">
        <v>134</v>
      </c>
      <c r="I58" t="s">
        <v>22</v>
      </c>
      <c r="J58" t="s">
        <v>20</v>
      </c>
      <c r="K58" t="s">
        <v>23</v>
      </c>
      <c r="L58">
        <v>55687.5</v>
      </c>
      <c r="M58" s="1">
        <v>43040</v>
      </c>
      <c r="N58" t="s">
        <v>24</v>
      </c>
      <c r="O58" t="s">
        <v>25</v>
      </c>
      <c r="Q58" s="1">
        <v>43852</v>
      </c>
    </row>
    <row r="59" spans="1:17" x14ac:dyDescent="0.5">
      <c r="A59" t="s">
        <v>136</v>
      </c>
      <c r="B59" t="s">
        <v>137</v>
      </c>
      <c r="C59" t="s">
        <v>19</v>
      </c>
      <c r="D59" s="1">
        <v>43567</v>
      </c>
      <c r="E59" s="1">
        <v>43932</v>
      </c>
      <c r="F59" t="s">
        <v>32</v>
      </c>
      <c r="G59">
        <v>11</v>
      </c>
      <c r="H59" t="s">
        <v>138</v>
      </c>
      <c r="I59" t="s">
        <v>22</v>
      </c>
      <c r="J59" t="s">
        <v>54</v>
      </c>
      <c r="K59" t="s">
        <v>23</v>
      </c>
      <c r="L59">
        <v>5187.3100000000004</v>
      </c>
      <c r="M59" s="1">
        <v>43567</v>
      </c>
      <c r="N59" t="s">
        <v>24</v>
      </c>
      <c r="O59" t="s">
        <v>25</v>
      </c>
      <c r="Q59" s="1">
        <v>43852</v>
      </c>
    </row>
    <row r="60" spans="1:17" x14ac:dyDescent="0.5">
      <c r="A60" t="s">
        <v>139</v>
      </c>
      <c r="B60" t="s">
        <v>140</v>
      </c>
      <c r="C60" t="s">
        <v>19</v>
      </c>
      <c r="D60" s="1">
        <v>43337</v>
      </c>
      <c r="E60" s="1">
        <v>43701</v>
      </c>
      <c r="F60" t="s">
        <v>32</v>
      </c>
      <c r="G60">
        <v>1</v>
      </c>
      <c r="H60" t="s">
        <v>21</v>
      </c>
      <c r="I60" t="s">
        <v>22</v>
      </c>
      <c r="J60" t="s">
        <v>54</v>
      </c>
      <c r="K60" t="s">
        <v>66</v>
      </c>
      <c r="L60">
        <v>2116.48</v>
      </c>
      <c r="M60" s="1">
        <v>43337</v>
      </c>
      <c r="N60" t="s">
        <v>24</v>
      </c>
      <c r="O60" t="s">
        <v>25</v>
      </c>
      <c r="Q60" s="1">
        <v>43852</v>
      </c>
    </row>
    <row r="61" spans="1:17" x14ac:dyDescent="0.5">
      <c r="A61" t="s">
        <v>141</v>
      </c>
      <c r="B61" t="s">
        <v>142</v>
      </c>
      <c r="C61" t="s">
        <v>19</v>
      </c>
      <c r="D61" s="1">
        <v>43434</v>
      </c>
      <c r="E61" s="1">
        <v>43798</v>
      </c>
      <c r="F61" t="s">
        <v>32</v>
      </c>
      <c r="G61">
        <v>1</v>
      </c>
      <c r="H61" t="s">
        <v>21</v>
      </c>
      <c r="I61" t="s">
        <v>22</v>
      </c>
      <c r="J61" t="s">
        <v>54</v>
      </c>
      <c r="K61" t="s">
        <v>23</v>
      </c>
      <c r="L61">
        <v>810.28</v>
      </c>
      <c r="M61" s="1">
        <v>43434</v>
      </c>
      <c r="N61" t="s">
        <v>24</v>
      </c>
      <c r="O61" t="s">
        <v>25</v>
      </c>
      <c r="Q61" s="1">
        <v>43852</v>
      </c>
    </row>
    <row r="62" spans="1:17" x14ac:dyDescent="0.5">
      <c r="A62" t="s">
        <v>143</v>
      </c>
      <c r="B62">
        <v>30003393</v>
      </c>
      <c r="C62" t="s">
        <v>19</v>
      </c>
      <c r="D62" s="1">
        <v>43586</v>
      </c>
      <c r="E62" s="1">
        <v>43951</v>
      </c>
      <c r="F62" t="s">
        <v>36</v>
      </c>
      <c r="G62">
        <v>6</v>
      </c>
      <c r="H62" t="s">
        <v>104</v>
      </c>
      <c r="I62" t="s">
        <v>22</v>
      </c>
      <c r="J62" t="s">
        <v>144</v>
      </c>
      <c r="K62" t="s">
        <v>28</v>
      </c>
      <c r="L62">
        <v>379836.08</v>
      </c>
      <c r="M62" s="1">
        <v>43586</v>
      </c>
      <c r="N62" t="s">
        <v>24</v>
      </c>
      <c r="O62" t="s">
        <v>25</v>
      </c>
      <c r="Q62" s="1">
        <v>43852</v>
      </c>
    </row>
    <row r="63" spans="1:17" x14ac:dyDescent="0.5">
      <c r="A63" t="s">
        <v>145</v>
      </c>
      <c r="B63" t="s">
        <v>146</v>
      </c>
      <c r="C63" t="s">
        <v>19</v>
      </c>
      <c r="D63" s="1">
        <v>43555</v>
      </c>
      <c r="E63" s="1">
        <v>43920</v>
      </c>
      <c r="F63" t="s">
        <v>37</v>
      </c>
      <c r="G63">
        <v>6</v>
      </c>
      <c r="H63" t="s">
        <v>104</v>
      </c>
      <c r="I63" t="s">
        <v>22</v>
      </c>
      <c r="J63" t="s">
        <v>37</v>
      </c>
      <c r="K63" t="s">
        <v>66</v>
      </c>
      <c r="L63">
        <v>28087.5</v>
      </c>
      <c r="M63" s="1">
        <v>43555</v>
      </c>
      <c r="N63" t="s">
        <v>24</v>
      </c>
      <c r="O63" t="s">
        <v>25</v>
      </c>
      <c r="Q63" s="1">
        <v>43852</v>
      </c>
    </row>
    <row r="64" spans="1:17" x14ac:dyDescent="0.5">
      <c r="A64" t="s">
        <v>147</v>
      </c>
      <c r="B64" t="s">
        <v>148</v>
      </c>
      <c r="C64" t="s">
        <v>19</v>
      </c>
      <c r="D64" s="1">
        <v>43466</v>
      </c>
      <c r="E64" s="1">
        <v>43830</v>
      </c>
      <c r="F64" t="s">
        <v>37</v>
      </c>
      <c r="G64">
        <v>1</v>
      </c>
      <c r="H64" t="s">
        <v>21</v>
      </c>
      <c r="I64" t="s">
        <v>22</v>
      </c>
      <c r="J64" t="s">
        <v>37</v>
      </c>
      <c r="K64" t="s">
        <v>23</v>
      </c>
      <c r="L64">
        <v>137500</v>
      </c>
      <c r="M64" s="1">
        <v>43466</v>
      </c>
      <c r="N64" t="s">
        <v>24</v>
      </c>
      <c r="O64" t="s">
        <v>25</v>
      </c>
      <c r="Q64" s="1">
        <v>43852</v>
      </c>
    </row>
    <row r="65" spans="1:17" x14ac:dyDescent="0.5">
      <c r="A65" t="s">
        <v>149</v>
      </c>
      <c r="B65" t="s">
        <v>150</v>
      </c>
      <c r="C65" t="s">
        <v>19</v>
      </c>
      <c r="D65" s="1">
        <v>43377</v>
      </c>
      <c r="E65" s="1">
        <v>43741</v>
      </c>
      <c r="F65" t="s">
        <v>37</v>
      </c>
      <c r="G65">
        <v>1</v>
      </c>
      <c r="H65" t="s">
        <v>21</v>
      </c>
      <c r="I65" t="s">
        <v>22</v>
      </c>
      <c r="J65" t="s">
        <v>37</v>
      </c>
      <c r="K65" t="s">
        <v>66</v>
      </c>
      <c r="L65">
        <v>18750</v>
      </c>
      <c r="M65" s="1">
        <v>43377</v>
      </c>
      <c r="N65" t="s">
        <v>24</v>
      </c>
      <c r="O65" t="s">
        <v>25</v>
      </c>
      <c r="Q65" s="1">
        <v>43852</v>
      </c>
    </row>
    <row r="66" spans="1:17" x14ac:dyDescent="0.5">
      <c r="A66" t="s">
        <v>151</v>
      </c>
      <c r="B66" t="s">
        <v>152</v>
      </c>
      <c r="C66" t="s">
        <v>19</v>
      </c>
      <c r="D66" s="1">
        <v>43801</v>
      </c>
      <c r="E66" s="1">
        <v>44166</v>
      </c>
      <c r="F66" t="s">
        <v>37</v>
      </c>
      <c r="G66">
        <v>1</v>
      </c>
      <c r="H66" t="s">
        <v>21</v>
      </c>
      <c r="I66" t="s">
        <v>22</v>
      </c>
      <c r="J66" t="s">
        <v>37</v>
      </c>
      <c r="K66" t="s">
        <v>23</v>
      </c>
      <c r="L66">
        <v>8125</v>
      </c>
      <c r="M66" s="1">
        <v>43801</v>
      </c>
      <c r="N66" t="s">
        <v>24</v>
      </c>
      <c r="O66" t="s">
        <v>25</v>
      </c>
      <c r="Q66" s="1">
        <v>43852</v>
      </c>
    </row>
    <row r="67" spans="1:17" x14ac:dyDescent="0.5">
      <c r="A67" t="s">
        <v>153</v>
      </c>
      <c r="B67" t="s">
        <v>154</v>
      </c>
      <c r="C67" t="s">
        <v>19</v>
      </c>
      <c r="D67" s="1">
        <v>43160</v>
      </c>
      <c r="E67" s="1">
        <v>43524</v>
      </c>
      <c r="F67" t="s">
        <v>32</v>
      </c>
      <c r="G67">
        <v>5</v>
      </c>
      <c r="H67" t="s">
        <v>134</v>
      </c>
      <c r="I67" t="s">
        <v>22</v>
      </c>
      <c r="J67" t="s">
        <v>61</v>
      </c>
      <c r="K67" t="s">
        <v>28</v>
      </c>
      <c r="L67">
        <v>116487.03999999999</v>
      </c>
      <c r="M67" s="1">
        <v>43160</v>
      </c>
      <c r="N67" t="s">
        <v>24</v>
      </c>
      <c r="O67" t="s">
        <v>25</v>
      </c>
      <c r="Q67" s="1">
        <v>43852</v>
      </c>
    </row>
    <row r="68" spans="1:17" x14ac:dyDescent="0.5">
      <c r="A68" t="s">
        <v>155</v>
      </c>
      <c r="B68" t="s">
        <v>156</v>
      </c>
      <c r="C68" t="s">
        <v>19</v>
      </c>
      <c r="D68" s="1">
        <v>43160</v>
      </c>
      <c r="E68" s="1">
        <v>43524</v>
      </c>
      <c r="F68" t="s">
        <v>32</v>
      </c>
      <c r="G68">
        <v>5</v>
      </c>
      <c r="H68" t="s">
        <v>134</v>
      </c>
      <c r="I68" t="s">
        <v>22</v>
      </c>
      <c r="J68" t="s">
        <v>61</v>
      </c>
      <c r="K68" t="s">
        <v>28</v>
      </c>
      <c r="L68">
        <v>2988.62</v>
      </c>
      <c r="M68" s="1">
        <v>43160</v>
      </c>
      <c r="N68" t="s">
        <v>24</v>
      </c>
      <c r="O68" t="s">
        <v>25</v>
      </c>
      <c r="Q68" s="1">
        <v>43852</v>
      </c>
    </row>
    <row r="69" spans="1:17" x14ac:dyDescent="0.5">
      <c r="A69" t="s">
        <v>157</v>
      </c>
      <c r="B69" t="s">
        <v>158</v>
      </c>
      <c r="C69" t="s">
        <v>19</v>
      </c>
      <c r="D69" s="1">
        <v>43160</v>
      </c>
      <c r="E69" s="1">
        <v>43524</v>
      </c>
      <c r="F69" t="s">
        <v>36</v>
      </c>
      <c r="G69">
        <v>5</v>
      </c>
      <c r="H69" t="s">
        <v>134</v>
      </c>
      <c r="I69" t="s">
        <v>22</v>
      </c>
      <c r="J69" t="s">
        <v>61</v>
      </c>
      <c r="K69" t="s">
        <v>28</v>
      </c>
      <c r="L69">
        <v>14627.5</v>
      </c>
      <c r="M69" s="1">
        <v>43160</v>
      </c>
      <c r="N69" t="s">
        <v>24</v>
      </c>
      <c r="O69" t="s">
        <v>25</v>
      </c>
      <c r="Q69" s="1">
        <v>43852</v>
      </c>
    </row>
    <row r="70" spans="1:17" x14ac:dyDescent="0.5">
      <c r="A70" t="s">
        <v>159</v>
      </c>
      <c r="B70" t="s">
        <v>160</v>
      </c>
      <c r="C70" t="s">
        <v>19</v>
      </c>
      <c r="D70" s="1">
        <v>43160</v>
      </c>
      <c r="E70" s="1">
        <v>43524</v>
      </c>
      <c r="F70" t="s">
        <v>36</v>
      </c>
      <c r="G70">
        <v>5</v>
      </c>
      <c r="H70" t="s">
        <v>134</v>
      </c>
      <c r="I70" t="s">
        <v>22</v>
      </c>
      <c r="J70" t="s">
        <v>61</v>
      </c>
      <c r="K70" t="s">
        <v>28</v>
      </c>
      <c r="L70">
        <v>2020.5</v>
      </c>
      <c r="M70" s="1">
        <v>43160</v>
      </c>
      <c r="N70" t="s">
        <v>24</v>
      </c>
      <c r="O70" t="s">
        <v>25</v>
      </c>
      <c r="Q70" s="1">
        <v>43852</v>
      </c>
    </row>
    <row r="71" spans="1:17" x14ac:dyDescent="0.5">
      <c r="A71" t="s">
        <v>161</v>
      </c>
      <c r="B71" t="s">
        <v>162</v>
      </c>
      <c r="C71" t="s">
        <v>19</v>
      </c>
      <c r="D71" s="1">
        <v>43160</v>
      </c>
      <c r="E71" s="1">
        <v>43524</v>
      </c>
      <c r="F71" t="s">
        <v>36</v>
      </c>
      <c r="G71">
        <v>5</v>
      </c>
      <c r="H71" t="s">
        <v>134</v>
      </c>
      <c r="I71" t="s">
        <v>22</v>
      </c>
      <c r="J71" t="s">
        <v>61</v>
      </c>
      <c r="K71" t="s">
        <v>28</v>
      </c>
      <c r="L71">
        <v>625.13</v>
      </c>
      <c r="M71" s="1">
        <v>43160</v>
      </c>
      <c r="N71" t="s">
        <v>24</v>
      </c>
      <c r="O71" t="s">
        <v>25</v>
      </c>
      <c r="Q71" s="1">
        <v>43852</v>
      </c>
    </row>
    <row r="72" spans="1:17" x14ac:dyDescent="0.5">
      <c r="A72" t="s">
        <v>163</v>
      </c>
      <c r="B72" t="s">
        <v>164</v>
      </c>
      <c r="C72" t="s">
        <v>19</v>
      </c>
      <c r="D72" s="1">
        <v>43160</v>
      </c>
      <c r="E72" s="1">
        <v>43524</v>
      </c>
      <c r="F72" t="s">
        <v>36</v>
      </c>
      <c r="G72">
        <v>5</v>
      </c>
      <c r="H72" t="s">
        <v>134</v>
      </c>
      <c r="I72" t="s">
        <v>22</v>
      </c>
      <c r="J72" t="s">
        <v>61</v>
      </c>
      <c r="K72" t="s">
        <v>66</v>
      </c>
      <c r="L72">
        <v>417</v>
      </c>
      <c r="M72" s="1">
        <v>43160</v>
      </c>
      <c r="N72" t="s">
        <v>24</v>
      </c>
      <c r="O72" t="s">
        <v>25</v>
      </c>
      <c r="Q72" s="1">
        <v>43852</v>
      </c>
    </row>
    <row r="73" spans="1:17" x14ac:dyDescent="0.5">
      <c r="A73" t="s">
        <v>165</v>
      </c>
      <c r="B73" t="s">
        <v>166</v>
      </c>
      <c r="C73" t="s">
        <v>19</v>
      </c>
      <c r="D73" s="1">
        <v>43160</v>
      </c>
      <c r="E73" s="1">
        <v>43524</v>
      </c>
      <c r="F73" t="s">
        <v>36</v>
      </c>
      <c r="G73">
        <v>5</v>
      </c>
      <c r="H73" t="s">
        <v>134</v>
      </c>
      <c r="I73" t="s">
        <v>22</v>
      </c>
      <c r="J73" t="s">
        <v>61</v>
      </c>
      <c r="K73" t="s">
        <v>28</v>
      </c>
      <c r="L73">
        <v>687.63</v>
      </c>
      <c r="M73" s="1">
        <v>43160</v>
      </c>
      <c r="N73" t="s">
        <v>24</v>
      </c>
      <c r="O73" t="s">
        <v>25</v>
      </c>
      <c r="Q73" s="1">
        <v>43852</v>
      </c>
    </row>
    <row r="74" spans="1:17" x14ac:dyDescent="0.5">
      <c r="A74" t="s">
        <v>167</v>
      </c>
      <c r="B74" t="s">
        <v>168</v>
      </c>
      <c r="C74" t="s">
        <v>19</v>
      </c>
      <c r="D74" s="1">
        <v>43160</v>
      </c>
      <c r="E74" s="1">
        <v>43524</v>
      </c>
      <c r="F74" t="s">
        <v>37</v>
      </c>
      <c r="G74">
        <v>5</v>
      </c>
      <c r="H74" t="s">
        <v>134</v>
      </c>
      <c r="I74" t="s">
        <v>22</v>
      </c>
      <c r="J74" t="s">
        <v>61</v>
      </c>
      <c r="K74" t="s">
        <v>28</v>
      </c>
      <c r="L74">
        <v>374.88</v>
      </c>
      <c r="M74" s="1">
        <v>43160</v>
      </c>
      <c r="N74" t="s">
        <v>24</v>
      </c>
      <c r="O74" t="s">
        <v>25</v>
      </c>
      <c r="Q74" s="1">
        <v>43852</v>
      </c>
    </row>
    <row r="75" spans="1:17" x14ac:dyDescent="0.5">
      <c r="A75" t="s">
        <v>169</v>
      </c>
      <c r="B75" t="s">
        <v>170</v>
      </c>
      <c r="C75" t="s">
        <v>19</v>
      </c>
      <c r="D75" s="1">
        <v>43160</v>
      </c>
      <c r="E75" s="1">
        <v>43524</v>
      </c>
      <c r="F75" t="s">
        <v>36</v>
      </c>
      <c r="G75">
        <v>5</v>
      </c>
      <c r="H75" t="s">
        <v>134</v>
      </c>
      <c r="I75" t="s">
        <v>22</v>
      </c>
      <c r="J75" t="s">
        <v>61</v>
      </c>
      <c r="K75" t="s">
        <v>28</v>
      </c>
      <c r="L75">
        <v>3537.25</v>
      </c>
      <c r="M75" s="1">
        <v>43160</v>
      </c>
      <c r="N75" t="s">
        <v>24</v>
      </c>
      <c r="O75" t="s">
        <v>25</v>
      </c>
      <c r="Q75" s="1">
        <v>43852</v>
      </c>
    </row>
    <row r="76" spans="1:17" x14ac:dyDescent="0.5">
      <c r="A76" t="s">
        <v>171</v>
      </c>
      <c r="B76" t="s">
        <v>172</v>
      </c>
      <c r="C76" t="s">
        <v>19</v>
      </c>
      <c r="D76" s="1">
        <v>43160</v>
      </c>
      <c r="E76" s="1">
        <v>43524</v>
      </c>
      <c r="F76" t="s">
        <v>36</v>
      </c>
      <c r="G76">
        <v>5</v>
      </c>
      <c r="H76" t="s">
        <v>134</v>
      </c>
      <c r="I76" t="s">
        <v>22</v>
      </c>
      <c r="J76" t="s">
        <v>61</v>
      </c>
      <c r="K76" t="s">
        <v>28</v>
      </c>
      <c r="L76">
        <v>8881.5</v>
      </c>
      <c r="M76" s="1">
        <v>43160</v>
      </c>
      <c r="N76" t="s">
        <v>24</v>
      </c>
      <c r="O76" t="s">
        <v>25</v>
      </c>
      <c r="Q76" s="1">
        <v>43852</v>
      </c>
    </row>
    <row r="77" spans="1:17" x14ac:dyDescent="0.5">
      <c r="A77" t="s">
        <v>173</v>
      </c>
      <c r="B77" t="s">
        <v>174</v>
      </c>
      <c r="C77" t="s">
        <v>19</v>
      </c>
      <c r="D77" s="1">
        <v>43608</v>
      </c>
      <c r="E77" s="1">
        <v>43973</v>
      </c>
      <c r="F77" t="s">
        <v>37</v>
      </c>
      <c r="G77">
        <v>1</v>
      </c>
      <c r="H77" t="s">
        <v>21</v>
      </c>
      <c r="I77" t="s">
        <v>22</v>
      </c>
      <c r="J77" t="s">
        <v>37</v>
      </c>
      <c r="K77" t="s">
        <v>23</v>
      </c>
      <c r="L77">
        <v>28125</v>
      </c>
      <c r="M77" s="1">
        <v>43608</v>
      </c>
      <c r="N77" t="s">
        <v>24</v>
      </c>
      <c r="O77" t="s">
        <v>25</v>
      </c>
      <c r="Q77" s="1">
        <v>43852</v>
      </c>
    </row>
    <row r="78" spans="1:17" x14ac:dyDescent="0.5">
      <c r="A78" t="s">
        <v>175</v>
      </c>
      <c r="B78" t="s">
        <v>176</v>
      </c>
      <c r="C78" t="s">
        <v>19</v>
      </c>
      <c r="D78" s="1">
        <v>43608</v>
      </c>
      <c r="E78" s="1">
        <v>43973</v>
      </c>
      <c r="F78" t="s">
        <v>37</v>
      </c>
      <c r="G78">
        <v>1</v>
      </c>
      <c r="H78" t="s">
        <v>21</v>
      </c>
      <c r="I78" t="s">
        <v>22</v>
      </c>
      <c r="J78" t="s">
        <v>37</v>
      </c>
      <c r="K78" t="s">
        <v>23</v>
      </c>
      <c r="L78">
        <v>131250</v>
      </c>
      <c r="M78" s="1">
        <v>43608</v>
      </c>
      <c r="N78" t="s">
        <v>24</v>
      </c>
      <c r="O78" t="s">
        <v>25</v>
      </c>
      <c r="Q78" s="1">
        <v>43852</v>
      </c>
    </row>
    <row r="79" spans="1:17" x14ac:dyDescent="0.5">
      <c r="A79" t="s">
        <v>177</v>
      </c>
      <c r="B79">
        <v>302102591</v>
      </c>
      <c r="C79" t="s">
        <v>31</v>
      </c>
      <c r="D79" s="1">
        <v>43348</v>
      </c>
      <c r="E79" s="1">
        <v>43712</v>
      </c>
      <c r="F79" t="s">
        <v>36</v>
      </c>
      <c r="G79">
        <v>3</v>
      </c>
      <c r="H79" t="s">
        <v>64</v>
      </c>
      <c r="I79" t="s">
        <v>22</v>
      </c>
      <c r="J79" t="s">
        <v>65</v>
      </c>
      <c r="K79" t="s">
        <v>23</v>
      </c>
      <c r="L79">
        <v>6058.38</v>
      </c>
      <c r="M79" s="1">
        <v>43348</v>
      </c>
      <c r="N79" t="s">
        <v>24</v>
      </c>
      <c r="O79" t="s">
        <v>25</v>
      </c>
      <c r="Q79" s="1">
        <v>43852</v>
      </c>
    </row>
    <row r="80" spans="1:17" x14ac:dyDescent="0.5">
      <c r="A80" t="s">
        <v>178</v>
      </c>
      <c r="B80">
        <v>668111383</v>
      </c>
      <c r="C80" t="s">
        <v>19</v>
      </c>
      <c r="D80" s="1">
        <v>43025</v>
      </c>
      <c r="E80" s="1">
        <v>43389</v>
      </c>
      <c r="F80" t="s">
        <v>32</v>
      </c>
      <c r="G80">
        <v>3</v>
      </c>
      <c r="H80" t="s">
        <v>64</v>
      </c>
      <c r="I80" t="s">
        <v>22</v>
      </c>
      <c r="J80" t="s">
        <v>65</v>
      </c>
      <c r="K80" t="s">
        <v>23</v>
      </c>
      <c r="L80">
        <v>29608.99</v>
      </c>
      <c r="M80" s="1">
        <v>43025</v>
      </c>
      <c r="N80" t="s">
        <v>24</v>
      </c>
      <c r="O80" t="s">
        <v>25</v>
      </c>
      <c r="Q80" s="1">
        <v>43852</v>
      </c>
    </row>
    <row r="81" spans="1:17" x14ac:dyDescent="0.5">
      <c r="A81" t="s">
        <v>179</v>
      </c>
      <c r="B81">
        <v>668111383</v>
      </c>
      <c r="C81" t="s">
        <v>19</v>
      </c>
      <c r="D81" s="1">
        <v>43025</v>
      </c>
      <c r="E81" s="1">
        <v>43389</v>
      </c>
      <c r="F81" t="s">
        <v>32</v>
      </c>
      <c r="G81">
        <v>3</v>
      </c>
      <c r="H81" t="s">
        <v>64</v>
      </c>
      <c r="I81" t="s">
        <v>22</v>
      </c>
      <c r="J81" t="s">
        <v>65</v>
      </c>
      <c r="K81" t="s">
        <v>23</v>
      </c>
      <c r="L81">
        <v>29638.400000000001</v>
      </c>
      <c r="M81" s="1">
        <v>43025</v>
      </c>
      <c r="N81" t="s">
        <v>24</v>
      </c>
      <c r="O81" t="s">
        <v>25</v>
      </c>
      <c r="Q81" s="1">
        <v>43852</v>
      </c>
    </row>
    <row r="82" spans="1:17" x14ac:dyDescent="0.5">
      <c r="A82" t="s">
        <v>180</v>
      </c>
      <c r="B82">
        <v>668111383</v>
      </c>
      <c r="C82" t="s">
        <v>19</v>
      </c>
      <c r="D82" s="1">
        <v>43025</v>
      </c>
      <c r="E82" s="1">
        <v>43389</v>
      </c>
      <c r="F82" t="s">
        <v>32</v>
      </c>
      <c r="G82">
        <v>3</v>
      </c>
      <c r="H82" t="s">
        <v>64</v>
      </c>
      <c r="I82" t="s">
        <v>22</v>
      </c>
      <c r="J82" t="s">
        <v>65</v>
      </c>
      <c r="K82" t="s">
        <v>23</v>
      </c>
      <c r="L82">
        <v>237107.16</v>
      </c>
      <c r="M82" s="1">
        <v>43025</v>
      </c>
      <c r="N82" t="s">
        <v>24</v>
      </c>
      <c r="O82" t="s">
        <v>25</v>
      </c>
      <c r="Q82" s="1">
        <v>43852</v>
      </c>
    </row>
    <row r="83" spans="1:17" x14ac:dyDescent="0.5">
      <c r="A83" t="s">
        <v>181</v>
      </c>
      <c r="B83" t="s">
        <v>182</v>
      </c>
      <c r="C83" t="s">
        <v>19</v>
      </c>
      <c r="D83" s="1">
        <v>43390</v>
      </c>
      <c r="E83" s="1">
        <v>43754</v>
      </c>
      <c r="F83" t="s">
        <v>36</v>
      </c>
      <c r="G83">
        <v>3</v>
      </c>
      <c r="H83" t="s">
        <v>64</v>
      </c>
      <c r="I83" t="s">
        <v>22</v>
      </c>
      <c r="J83" t="s">
        <v>65</v>
      </c>
      <c r="K83" t="s">
        <v>23</v>
      </c>
      <c r="L83">
        <v>295501.76</v>
      </c>
      <c r="M83" s="1">
        <v>43390</v>
      </c>
      <c r="N83" t="s">
        <v>24</v>
      </c>
      <c r="O83" t="s">
        <v>25</v>
      </c>
      <c r="Q83" s="1">
        <v>43852</v>
      </c>
    </row>
    <row r="84" spans="1:17" x14ac:dyDescent="0.5">
      <c r="A84" t="s">
        <v>183</v>
      </c>
      <c r="B84">
        <v>2250015394</v>
      </c>
      <c r="C84" t="s">
        <v>19</v>
      </c>
      <c r="D84" s="1">
        <v>43713</v>
      </c>
      <c r="E84" s="1">
        <v>44078</v>
      </c>
      <c r="F84" t="s">
        <v>36</v>
      </c>
      <c r="G84">
        <v>3</v>
      </c>
      <c r="H84" t="s">
        <v>64</v>
      </c>
      <c r="I84" t="s">
        <v>22</v>
      </c>
      <c r="J84" t="s">
        <v>65</v>
      </c>
      <c r="K84" t="s">
        <v>23</v>
      </c>
      <c r="L84">
        <v>5612.25</v>
      </c>
      <c r="M84" s="1">
        <v>43713</v>
      </c>
      <c r="N84" t="s">
        <v>24</v>
      </c>
      <c r="O84" t="s">
        <v>23</v>
      </c>
      <c r="Q84" s="1">
        <v>43852</v>
      </c>
    </row>
    <row r="85" spans="1:17" x14ac:dyDescent="0.5">
      <c r="A85" t="s">
        <v>184</v>
      </c>
      <c r="B85">
        <v>2309002394</v>
      </c>
      <c r="C85" t="s">
        <v>19</v>
      </c>
      <c r="D85" s="1">
        <v>43101</v>
      </c>
      <c r="E85" s="1">
        <v>43465</v>
      </c>
      <c r="F85" t="s">
        <v>37</v>
      </c>
      <c r="G85">
        <v>3</v>
      </c>
      <c r="H85" t="s">
        <v>64</v>
      </c>
      <c r="I85" t="s">
        <v>22</v>
      </c>
      <c r="J85" t="s">
        <v>65</v>
      </c>
      <c r="K85" t="s">
        <v>23</v>
      </c>
      <c r="L85">
        <v>30875</v>
      </c>
      <c r="M85" s="1">
        <v>43101</v>
      </c>
      <c r="N85" t="s">
        <v>24</v>
      </c>
      <c r="O85" t="s">
        <v>25</v>
      </c>
      <c r="Q85" s="1">
        <v>43852</v>
      </c>
    </row>
    <row r="86" spans="1:17" x14ac:dyDescent="0.5">
      <c r="A86" t="s">
        <v>185</v>
      </c>
      <c r="B86">
        <v>3.1142029633600998E+18</v>
      </c>
      <c r="C86" t="s">
        <v>19</v>
      </c>
      <c r="D86" s="1">
        <v>43703</v>
      </c>
      <c r="E86" s="1">
        <v>44068</v>
      </c>
      <c r="F86" t="s">
        <v>36</v>
      </c>
      <c r="G86">
        <v>3</v>
      </c>
      <c r="H86" t="s">
        <v>64</v>
      </c>
      <c r="I86" t="s">
        <v>22</v>
      </c>
      <c r="J86" t="s">
        <v>65</v>
      </c>
      <c r="K86" t="s">
        <v>66</v>
      </c>
      <c r="L86">
        <v>7022.25</v>
      </c>
      <c r="M86" s="1">
        <v>43703</v>
      </c>
      <c r="N86" t="s">
        <v>24</v>
      </c>
      <c r="O86" t="s">
        <v>25</v>
      </c>
      <c r="Q86" s="1">
        <v>43852</v>
      </c>
    </row>
    <row r="87" spans="1:17" x14ac:dyDescent="0.5">
      <c r="A87" t="s">
        <v>186</v>
      </c>
      <c r="B87" t="s">
        <v>187</v>
      </c>
      <c r="C87" t="s">
        <v>19</v>
      </c>
      <c r="D87" s="1">
        <v>43466</v>
      </c>
      <c r="E87" s="1">
        <v>43830</v>
      </c>
      <c r="F87" t="s">
        <v>20</v>
      </c>
      <c r="G87">
        <v>3</v>
      </c>
      <c r="H87" t="s">
        <v>64</v>
      </c>
      <c r="I87" t="s">
        <v>22</v>
      </c>
      <c r="J87" t="s">
        <v>65</v>
      </c>
      <c r="K87" t="s">
        <v>66</v>
      </c>
      <c r="L87">
        <v>77787.360000000001</v>
      </c>
      <c r="M87" s="1">
        <v>43466</v>
      </c>
      <c r="N87" t="s">
        <v>24</v>
      </c>
      <c r="O87" t="s">
        <v>25</v>
      </c>
      <c r="Q87" s="1">
        <v>43852</v>
      </c>
    </row>
    <row r="88" spans="1:17" x14ac:dyDescent="0.5">
      <c r="A88" t="s">
        <v>188</v>
      </c>
      <c r="B88" t="s">
        <v>189</v>
      </c>
      <c r="C88" t="s">
        <v>19</v>
      </c>
      <c r="D88" s="1">
        <v>43466</v>
      </c>
      <c r="E88" s="1">
        <v>43830</v>
      </c>
      <c r="F88" t="s">
        <v>37</v>
      </c>
      <c r="G88">
        <v>3</v>
      </c>
      <c r="H88" t="s">
        <v>64</v>
      </c>
      <c r="I88" t="s">
        <v>22</v>
      </c>
      <c r="J88" t="s">
        <v>65</v>
      </c>
      <c r="K88" t="s">
        <v>66</v>
      </c>
      <c r="L88">
        <v>30048.080000000002</v>
      </c>
      <c r="M88" s="1">
        <v>43466</v>
      </c>
      <c r="N88" t="s">
        <v>24</v>
      </c>
      <c r="O88" t="s">
        <v>25</v>
      </c>
      <c r="Q88" s="1">
        <v>43852</v>
      </c>
    </row>
    <row r="89" spans="1:17" x14ac:dyDescent="0.5">
      <c r="A89" t="s">
        <v>190</v>
      </c>
      <c r="B89" t="s">
        <v>191</v>
      </c>
      <c r="C89" t="s">
        <v>19</v>
      </c>
      <c r="D89" s="1">
        <v>43724</v>
      </c>
      <c r="E89" s="1">
        <v>44089</v>
      </c>
      <c r="F89" t="s">
        <v>40</v>
      </c>
      <c r="G89">
        <v>3</v>
      </c>
      <c r="H89" t="s">
        <v>64</v>
      </c>
      <c r="I89" t="s">
        <v>22</v>
      </c>
      <c r="J89" t="s">
        <v>65</v>
      </c>
      <c r="K89" t="s">
        <v>66</v>
      </c>
      <c r="L89">
        <v>7690.95</v>
      </c>
      <c r="M89" s="1">
        <v>43724</v>
      </c>
      <c r="N89" t="s">
        <v>24</v>
      </c>
      <c r="O89" t="s">
        <v>25</v>
      </c>
      <c r="Q89" s="1">
        <v>43852</v>
      </c>
    </row>
    <row r="90" spans="1:17" x14ac:dyDescent="0.5">
      <c r="A90" t="s">
        <v>192</v>
      </c>
      <c r="B90">
        <v>1.2030046182479999E+19</v>
      </c>
      <c r="C90" t="s">
        <v>31</v>
      </c>
      <c r="D90" s="1">
        <v>43322</v>
      </c>
      <c r="E90" s="1">
        <v>43686</v>
      </c>
      <c r="F90" t="s">
        <v>36</v>
      </c>
      <c r="G90">
        <v>12</v>
      </c>
      <c r="H90" t="s">
        <v>83</v>
      </c>
      <c r="I90" t="s">
        <v>22</v>
      </c>
      <c r="J90" t="s">
        <v>65</v>
      </c>
      <c r="K90" t="s">
        <v>23</v>
      </c>
      <c r="L90">
        <v>86400</v>
      </c>
      <c r="M90" s="1">
        <v>43322</v>
      </c>
      <c r="N90" t="s">
        <v>24</v>
      </c>
      <c r="O90" t="s">
        <v>25</v>
      </c>
      <c r="Q90" s="1">
        <v>43852</v>
      </c>
    </row>
    <row r="91" spans="1:17" x14ac:dyDescent="0.5">
      <c r="A91" t="s">
        <v>193</v>
      </c>
      <c r="B91">
        <v>1.2030046182479999E+19</v>
      </c>
      <c r="C91" t="s">
        <v>31</v>
      </c>
      <c r="D91" s="1">
        <v>43322</v>
      </c>
      <c r="E91" s="1">
        <v>43686</v>
      </c>
      <c r="F91" t="s">
        <v>36</v>
      </c>
      <c r="G91">
        <v>12</v>
      </c>
      <c r="H91" t="s">
        <v>83</v>
      </c>
      <c r="I91" t="s">
        <v>22</v>
      </c>
      <c r="J91" t="s">
        <v>65</v>
      </c>
      <c r="K91" t="s">
        <v>23</v>
      </c>
      <c r="L91">
        <v>345705</v>
      </c>
      <c r="M91" s="1">
        <v>43322</v>
      </c>
      <c r="N91" t="s">
        <v>24</v>
      </c>
      <c r="O91" t="s">
        <v>25</v>
      </c>
      <c r="Q91" s="1">
        <v>43852</v>
      </c>
    </row>
    <row r="92" spans="1:17" x14ac:dyDescent="0.5">
      <c r="A92" t="s">
        <v>194</v>
      </c>
      <c r="B92">
        <v>1.203004619248E+19</v>
      </c>
      <c r="C92" t="s">
        <v>19</v>
      </c>
      <c r="D92" s="1">
        <v>43687</v>
      </c>
      <c r="E92" s="1">
        <v>44052</v>
      </c>
      <c r="F92" t="s">
        <v>36</v>
      </c>
      <c r="G92">
        <v>3</v>
      </c>
      <c r="H92" t="s">
        <v>64</v>
      </c>
      <c r="I92" t="s">
        <v>22</v>
      </c>
      <c r="J92" t="s">
        <v>65</v>
      </c>
      <c r="K92" t="s">
        <v>23</v>
      </c>
      <c r="L92">
        <v>77400</v>
      </c>
      <c r="M92" s="1">
        <v>43687</v>
      </c>
      <c r="N92" t="s">
        <v>24</v>
      </c>
      <c r="O92" t="s">
        <v>23</v>
      </c>
      <c r="Q92" s="1">
        <v>43852</v>
      </c>
    </row>
    <row r="93" spans="1:17" x14ac:dyDescent="0.5">
      <c r="A93" t="s">
        <v>195</v>
      </c>
      <c r="B93">
        <v>1.203004619248E+19</v>
      </c>
      <c r="C93" t="s">
        <v>19</v>
      </c>
      <c r="D93" s="1">
        <v>43687</v>
      </c>
      <c r="E93" s="1">
        <v>44052</v>
      </c>
      <c r="F93" t="s">
        <v>36</v>
      </c>
      <c r="G93">
        <v>3</v>
      </c>
      <c r="H93" t="s">
        <v>64</v>
      </c>
      <c r="I93" t="s">
        <v>22</v>
      </c>
      <c r="J93" t="s">
        <v>65</v>
      </c>
      <c r="K93" t="s">
        <v>23</v>
      </c>
      <c r="L93">
        <v>302811.08</v>
      </c>
      <c r="M93" s="1">
        <v>43687</v>
      </c>
      <c r="N93" t="s">
        <v>24</v>
      </c>
      <c r="O93" t="s">
        <v>23</v>
      </c>
      <c r="Q93" s="1">
        <v>43852</v>
      </c>
    </row>
    <row r="94" spans="1:17" x14ac:dyDescent="0.5">
      <c r="A94" t="s">
        <v>196</v>
      </c>
      <c r="B94" t="s">
        <v>197</v>
      </c>
      <c r="C94" t="s">
        <v>19</v>
      </c>
      <c r="D94" s="1">
        <v>43282</v>
      </c>
      <c r="E94" s="1">
        <v>43646</v>
      </c>
      <c r="F94" t="s">
        <v>37</v>
      </c>
      <c r="G94">
        <v>12</v>
      </c>
      <c r="H94" t="s">
        <v>83</v>
      </c>
      <c r="I94" t="s">
        <v>22</v>
      </c>
      <c r="J94" t="s">
        <v>65</v>
      </c>
      <c r="K94" t="s">
        <v>23</v>
      </c>
      <c r="L94">
        <v>1183.3800000000001</v>
      </c>
      <c r="M94" s="1">
        <v>43282</v>
      </c>
      <c r="N94" t="s">
        <v>24</v>
      </c>
      <c r="O94" t="s">
        <v>25</v>
      </c>
      <c r="Q94" s="1">
        <v>43852</v>
      </c>
    </row>
    <row r="95" spans="1:17" x14ac:dyDescent="0.5">
      <c r="A95" t="s">
        <v>198</v>
      </c>
      <c r="B95" t="s">
        <v>199</v>
      </c>
      <c r="C95" t="s">
        <v>19</v>
      </c>
      <c r="D95" s="1">
        <v>43359</v>
      </c>
      <c r="E95" s="1">
        <v>43723</v>
      </c>
      <c r="F95" t="s">
        <v>32</v>
      </c>
      <c r="G95">
        <v>1</v>
      </c>
      <c r="H95" t="s">
        <v>21</v>
      </c>
      <c r="I95" t="s">
        <v>22</v>
      </c>
      <c r="J95" t="s">
        <v>54</v>
      </c>
      <c r="K95" t="s">
        <v>23</v>
      </c>
      <c r="L95">
        <v>33977.82</v>
      </c>
      <c r="M95" s="1">
        <v>43359</v>
      </c>
      <c r="N95" t="s">
        <v>24</v>
      </c>
      <c r="O95" t="s">
        <v>25</v>
      </c>
      <c r="Q95" s="1">
        <v>43852</v>
      </c>
    </row>
    <row r="96" spans="1:17" x14ac:dyDescent="0.5">
      <c r="A96" t="s">
        <v>200</v>
      </c>
      <c r="B96" t="s">
        <v>201</v>
      </c>
      <c r="C96" t="s">
        <v>19</v>
      </c>
      <c r="D96" s="1">
        <v>43066</v>
      </c>
      <c r="E96" s="1">
        <v>44161</v>
      </c>
      <c r="F96" t="s">
        <v>202</v>
      </c>
      <c r="G96">
        <v>11</v>
      </c>
      <c r="H96" t="s">
        <v>138</v>
      </c>
      <c r="I96" t="s">
        <v>22</v>
      </c>
      <c r="J96" t="s">
        <v>33</v>
      </c>
      <c r="K96" t="s">
        <v>66</v>
      </c>
      <c r="L96">
        <v>25303.02</v>
      </c>
      <c r="M96" s="1">
        <v>43247</v>
      </c>
      <c r="N96" t="s">
        <v>24</v>
      </c>
      <c r="O96" t="s">
        <v>25</v>
      </c>
      <c r="Q96" s="1">
        <v>43852</v>
      </c>
    </row>
    <row r="97" spans="1:17" x14ac:dyDescent="0.5">
      <c r="A97" t="s">
        <v>203</v>
      </c>
      <c r="B97" t="s">
        <v>201</v>
      </c>
      <c r="C97" t="s">
        <v>19</v>
      </c>
      <c r="D97" s="1">
        <v>43066</v>
      </c>
      <c r="E97" s="1">
        <v>44161</v>
      </c>
      <c r="F97" t="s">
        <v>202</v>
      </c>
      <c r="G97">
        <v>11</v>
      </c>
      <c r="H97" t="s">
        <v>138</v>
      </c>
      <c r="I97" t="s">
        <v>22</v>
      </c>
      <c r="J97" t="s">
        <v>33</v>
      </c>
      <c r="K97" t="s">
        <v>66</v>
      </c>
      <c r="L97">
        <v>25302.959999999999</v>
      </c>
      <c r="M97" s="1">
        <v>43612</v>
      </c>
      <c r="N97" t="s">
        <v>24</v>
      </c>
      <c r="O97" t="s">
        <v>25</v>
      </c>
      <c r="Q97" s="1">
        <v>43852</v>
      </c>
    </row>
    <row r="98" spans="1:17" x14ac:dyDescent="0.5">
      <c r="A98" t="s">
        <v>204</v>
      </c>
      <c r="B98" t="s">
        <v>201</v>
      </c>
      <c r="C98" t="s">
        <v>19</v>
      </c>
      <c r="D98" s="1">
        <v>43066</v>
      </c>
      <c r="E98" s="1">
        <v>44161</v>
      </c>
      <c r="F98" t="s">
        <v>202</v>
      </c>
      <c r="G98">
        <v>11</v>
      </c>
      <c r="H98" t="s">
        <v>138</v>
      </c>
      <c r="I98" t="s">
        <v>22</v>
      </c>
      <c r="J98" t="s">
        <v>33</v>
      </c>
      <c r="K98" t="s">
        <v>66</v>
      </c>
      <c r="L98">
        <v>25302.959999999999</v>
      </c>
      <c r="M98" s="1">
        <v>43704</v>
      </c>
      <c r="N98" t="s">
        <v>24</v>
      </c>
      <c r="O98" t="s">
        <v>25</v>
      </c>
      <c r="Q98" s="1">
        <v>43852</v>
      </c>
    </row>
    <row r="99" spans="1:17" x14ac:dyDescent="0.5">
      <c r="A99" t="s">
        <v>205</v>
      </c>
      <c r="B99" t="s">
        <v>201</v>
      </c>
      <c r="C99" t="s">
        <v>19</v>
      </c>
      <c r="D99" s="1">
        <v>43066</v>
      </c>
      <c r="E99" s="1">
        <v>44161</v>
      </c>
      <c r="F99" t="s">
        <v>202</v>
      </c>
      <c r="G99">
        <v>11</v>
      </c>
      <c r="H99" t="s">
        <v>138</v>
      </c>
      <c r="I99" t="s">
        <v>22</v>
      </c>
      <c r="J99" t="s">
        <v>33</v>
      </c>
      <c r="K99" t="s">
        <v>66</v>
      </c>
      <c r="L99">
        <v>25302.959999999999</v>
      </c>
      <c r="M99" s="1">
        <v>43796</v>
      </c>
      <c r="N99" t="s">
        <v>24</v>
      </c>
      <c r="O99" t="s">
        <v>25</v>
      </c>
      <c r="Q99" s="1">
        <v>43852</v>
      </c>
    </row>
    <row r="100" spans="1:17" x14ac:dyDescent="0.5">
      <c r="A100" t="s">
        <v>206</v>
      </c>
      <c r="B100" t="s">
        <v>201</v>
      </c>
      <c r="C100" t="s">
        <v>19</v>
      </c>
      <c r="D100" s="1">
        <v>43066</v>
      </c>
      <c r="E100" s="1">
        <v>44161</v>
      </c>
      <c r="F100" t="s">
        <v>202</v>
      </c>
      <c r="G100">
        <v>11</v>
      </c>
      <c r="H100" t="s">
        <v>138</v>
      </c>
      <c r="I100" t="s">
        <v>22</v>
      </c>
      <c r="J100" t="s">
        <v>33</v>
      </c>
      <c r="K100" t="s">
        <v>66</v>
      </c>
      <c r="L100">
        <v>25302.959999999999</v>
      </c>
      <c r="M100" s="1">
        <v>43888</v>
      </c>
      <c r="N100" t="s">
        <v>24</v>
      </c>
      <c r="O100" t="s">
        <v>25</v>
      </c>
      <c r="Q100" s="1">
        <v>43852</v>
      </c>
    </row>
    <row r="101" spans="1:17" x14ac:dyDescent="0.5">
      <c r="A101" t="s">
        <v>207</v>
      </c>
      <c r="B101" t="s">
        <v>201</v>
      </c>
      <c r="C101" t="s">
        <v>19</v>
      </c>
      <c r="D101" s="1">
        <v>43066</v>
      </c>
      <c r="E101" s="1">
        <v>44161</v>
      </c>
      <c r="F101" t="s">
        <v>202</v>
      </c>
      <c r="G101">
        <v>11</v>
      </c>
      <c r="H101" t="s">
        <v>138</v>
      </c>
      <c r="I101" t="s">
        <v>22</v>
      </c>
      <c r="J101" t="s">
        <v>33</v>
      </c>
      <c r="K101" t="s">
        <v>66</v>
      </c>
      <c r="L101">
        <v>25302.959999999999</v>
      </c>
      <c r="M101" s="1">
        <v>43978</v>
      </c>
      <c r="N101" t="s">
        <v>24</v>
      </c>
      <c r="O101" t="s">
        <v>25</v>
      </c>
      <c r="Q101" s="1">
        <v>43852</v>
      </c>
    </row>
    <row r="102" spans="1:17" x14ac:dyDescent="0.5">
      <c r="A102" t="s">
        <v>208</v>
      </c>
      <c r="B102" t="s">
        <v>201</v>
      </c>
      <c r="C102" t="s">
        <v>19</v>
      </c>
      <c r="D102" s="1">
        <v>43066</v>
      </c>
      <c r="E102" s="1">
        <v>44161</v>
      </c>
      <c r="F102" t="s">
        <v>202</v>
      </c>
      <c r="G102">
        <v>11</v>
      </c>
      <c r="H102" t="s">
        <v>138</v>
      </c>
      <c r="I102" t="s">
        <v>22</v>
      </c>
      <c r="J102" t="s">
        <v>33</v>
      </c>
      <c r="K102" t="s">
        <v>66</v>
      </c>
      <c r="L102">
        <v>25302.959999999999</v>
      </c>
      <c r="M102" s="1">
        <v>43339</v>
      </c>
      <c r="N102" t="s">
        <v>24</v>
      </c>
      <c r="O102" t="s">
        <v>25</v>
      </c>
      <c r="Q102" s="1">
        <v>43852</v>
      </c>
    </row>
    <row r="103" spans="1:17" x14ac:dyDescent="0.5">
      <c r="A103" t="s">
        <v>209</v>
      </c>
      <c r="B103" t="s">
        <v>201</v>
      </c>
      <c r="C103" t="s">
        <v>19</v>
      </c>
      <c r="D103" s="1">
        <v>43066</v>
      </c>
      <c r="E103" s="1">
        <v>44161</v>
      </c>
      <c r="F103" t="s">
        <v>202</v>
      </c>
      <c r="G103">
        <v>11</v>
      </c>
      <c r="H103" t="s">
        <v>138</v>
      </c>
      <c r="I103" t="s">
        <v>22</v>
      </c>
      <c r="J103" t="s">
        <v>33</v>
      </c>
      <c r="K103" t="s">
        <v>66</v>
      </c>
      <c r="L103">
        <v>25302.959999999999</v>
      </c>
      <c r="M103" s="1">
        <v>43431</v>
      </c>
      <c r="N103" t="s">
        <v>24</v>
      </c>
      <c r="O103" t="s">
        <v>25</v>
      </c>
      <c r="Q103" s="1">
        <v>43852</v>
      </c>
    </row>
    <row r="104" spans="1:17" x14ac:dyDescent="0.5">
      <c r="A104" t="s">
        <v>209</v>
      </c>
      <c r="B104" t="s">
        <v>201</v>
      </c>
      <c r="C104" t="s">
        <v>19</v>
      </c>
      <c r="D104" s="1">
        <v>43066</v>
      </c>
      <c r="E104" s="1">
        <v>44161</v>
      </c>
      <c r="F104" t="s">
        <v>202</v>
      </c>
      <c r="G104">
        <v>11</v>
      </c>
      <c r="H104" t="s">
        <v>138</v>
      </c>
      <c r="I104" t="s">
        <v>22</v>
      </c>
      <c r="J104" t="s">
        <v>33</v>
      </c>
      <c r="K104" t="s">
        <v>66</v>
      </c>
      <c r="L104">
        <v>25302.959999999999</v>
      </c>
      <c r="M104" s="1">
        <v>43523</v>
      </c>
      <c r="N104" t="s">
        <v>24</v>
      </c>
      <c r="O104" t="s">
        <v>25</v>
      </c>
      <c r="Q104" s="1">
        <v>43852</v>
      </c>
    </row>
    <row r="105" spans="1:17" x14ac:dyDescent="0.5">
      <c r="A105" t="s">
        <v>209</v>
      </c>
      <c r="B105" t="s">
        <v>201</v>
      </c>
      <c r="C105" t="s">
        <v>19</v>
      </c>
      <c r="D105" s="1">
        <v>43066</v>
      </c>
      <c r="E105" s="1">
        <v>44161</v>
      </c>
      <c r="F105" t="s">
        <v>202</v>
      </c>
      <c r="G105">
        <v>11</v>
      </c>
      <c r="H105" t="s">
        <v>138</v>
      </c>
      <c r="I105" t="s">
        <v>22</v>
      </c>
      <c r="J105" t="s">
        <v>33</v>
      </c>
      <c r="K105" t="s">
        <v>66</v>
      </c>
      <c r="L105">
        <v>25303.02</v>
      </c>
      <c r="M105" s="1">
        <v>43158</v>
      </c>
      <c r="N105" t="s">
        <v>24</v>
      </c>
      <c r="O105" t="s">
        <v>25</v>
      </c>
      <c r="Q105" s="1">
        <v>43852</v>
      </c>
    </row>
    <row r="106" spans="1:17" x14ac:dyDescent="0.5">
      <c r="A106" t="s">
        <v>209</v>
      </c>
      <c r="B106" t="s">
        <v>201</v>
      </c>
      <c r="C106" t="s">
        <v>19</v>
      </c>
      <c r="D106" s="1">
        <v>43066</v>
      </c>
      <c r="E106" s="1">
        <v>44161</v>
      </c>
      <c r="F106" t="s">
        <v>202</v>
      </c>
      <c r="G106">
        <v>11</v>
      </c>
      <c r="H106" t="s">
        <v>138</v>
      </c>
      <c r="I106" t="s">
        <v>22</v>
      </c>
      <c r="J106" t="s">
        <v>33</v>
      </c>
      <c r="K106" t="s">
        <v>66</v>
      </c>
      <c r="L106">
        <v>39952.080000000002</v>
      </c>
      <c r="M106" s="1">
        <v>43066</v>
      </c>
      <c r="N106" t="s">
        <v>24</v>
      </c>
      <c r="O106" t="s">
        <v>25</v>
      </c>
      <c r="Q106" s="1">
        <v>43852</v>
      </c>
    </row>
    <row r="107" spans="1:17" x14ac:dyDescent="0.5">
      <c r="A107" t="s">
        <v>209</v>
      </c>
      <c r="B107">
        <v>8540162</v>
      </c>
      <c r="C107" t="s">
        <v>31</v>
      </c>
      <c r="D107" s="1">
        <v>43158</v>
      </c>
      <c r="E107" s="1">
        <v>43522</v>
      </c>
      <c r="F107" t="s">
        <v>32</v>
      </c>
      <c r="G107">
        <v>1</v>
      </c>
      <c r="H107" t="s">
        <v>21</v>
      </c>
      <c r="I107" t="s">
        <v>22</v>
      </c>
      <c r="J107" t="s">
        <v>54</v>
      </c>
      <c r="K107" t="s">
        <v>23</v>
      </c>
      <c r="L107">
        <v>562.24</v>
      </c>
      <c r="M107" s="1">
        <v>43158</v>
      </c>
      <c r="N107" t="s">
        <v>24</v>
      </c>
      <c r="O107" t="s">
        <v>25</v>
      </c>
      <c r="Q107" s="1">
        <v>43852</v>
      </c>
    </row>
    <row r="108" spans="1:17" x14ac:dyDescent="0.5">
      <c r="A108" t="s">
        <v>209</v>
      </c>
      <c r="B108" t="s">
        <v>210</v>
      </c>
      <c r="C108" t="s">
        <v>19</v>
      </c>
      <c r="D108" s="1">
        <v>43523</v>
      </c>
      <c r="E108" s="1">
        <v>43887</v>
      </c>
      <c r="F108" t="s">
        <v>32</v>
      </c>
      <c r="G108">
        <v>1</v>
      </c>
      <c r="H108" t="s">
        <v>21</v>
      </c>
      <c r="I108" t="s">
        <v>22</v>
      </c>
      <c r="J108" t="s">
        <v>54</v>
      </c>
      <c r="K108" t="s">
        <v>23</v>
      </c>
      <c r="L108">
        <v>628.70000000000005</v>
      </c>
      <c r="M108" s="1">
        <v>43526</v>
      </c>
      <c r="N108" t="s">
        <v>24</v>
      </c>
      <c r="O108" t="s">
        <v>23</v>
      </c>
      <c r="Q108" s="1">
        <v>43852</v>
      </c>
    </row>
    <row r="109" spans="1:17" x14ac:dyDescent="0.5">
      <c r="A109" t="s">
        <v>209</v>
      </c>
      <c r="B109">
        <v>304001926</v>
      </c>
      <c r="C109" t="s">
        <v>31</v>
      </c>
      <c r="D109" s="1">
        <v>43191</v>
      </c>
      <c r="E109" s="1">
        <v>43555</v>
      </c>
      <c r="F109" t="s">
        <v>37</v>
      </c>
      <c r="G109">
        <v>12</v>
      </c>
      <c r="H109" t="s">
        <v>83</v>
      </c>
      <c r="I109" t="s">
        <v>22</v>
      </c>
      <c r="J109" t="s">
        <v>65</v>
      </c>
      <c r="K109" t="s">
        <v>23</v>
      </c>
      <c r="L109">
        <v>5075.5</v>
      </c>
      <c r="M109" s="1">
        <v>43191</v>
      </c>
      <c r="N109" t="s">
        <v>24</v>
      </c>
      <c r="O109" t="s">
        <v>25</v>
      </c>
      <c r="Q109" s="1">
        <v>43852</v>
      </c>
    </row>
    <row r="110" spans="1:17" x14ac:dyDescent="0.5">
      <c r="A110" t="s">
        <v>209</v>
      </c>
      <c r="B110">
        <v>304003761</v>
      </c>
      <c r="C110" t="s">
        <v>19</v>
      </c>
      <c r="D110" s="1">
        <v>43556</v>
      </c>
      <c r="E110" s="1">
        <v>43921</v>
      </c>
      <c r="F110" t="s">
        <v>37</v>
      </c>
      <c r="G110">
        <v>3</v>
      </c>
      <c r="H110" t="s">
        <v>64</v>
      </c>
      <c r="I110" t="s">
        <v>22</v>
      </c>
      <c r="J110" t="s">
        <v>65</v>
      </c>
      <c r="K110" t="s">
        <v>23</v>
      </c>
      <c r="L110">
        <v>5206</v>
      </c>
      <c r="M110" s="1">
        <v>43556</v>
      </c>
      <c r="N110" t="s">
        <v>24</v>
      </c>
      <c r="O110" t="s">
        <v>23</v>
      </c>
      <c r="Q110" s="1">
        <v>43852</v>
      </c>
    </row>
    <row r="111" spans="1:17" x14ac:dyDescent="0.5">
      <c r="A111" t="s">
        <v>26</v>
      </c>
      <c r="B111" t="s">
        <v>211</v>
      </c>
      <c r="C111" t="s">
        <v>19</v>
      </c>
      <c r="D111" s="1">
        <v>43494</v>
      </c>
      <c r="E111" s="1">
        <v>43858</v>
      </c>
      <c r="F111" t="s">
        <v>32</v>
      </c>
      <c r="G111">
        <v>13</v>
      </c>
      <c r="H111" t="s">
        <v>212</v>
      </c>
      <c r="I111" t="s">
        <v>22</v>
      </c>
      <c r="J111" t="s">
        <v>54</v>
      </c>
      <c r="K111" t="s">
        <v>28</v>
      </c>
      <c r="L111">
        <v>5462.5</v>
      </c>
      <c r="M111" s="1">
        <v>43494</v>
      </c>
      <c r="N111" t="s">
        <v>24</v>
      </c>
      <c r="O111" t="s">
        <v>25</v>
      </c>
      <c r="Q111" s="1">
        <v>43852</v>
      </c>
    </row>
    <row r="112" spans="1:17" x14ac:dyDescent="0.5">
      <c r="A112" t="s">
        <v>29</v>
      </c>
      <c r="B112" t="s">
        <v>213</v>
      </c>
      <c r="C112" t="s">
        <v>19</v>
      </c>
      <c r="D112" s="1">
        <v>43472</v>
      </c>
      <c r="E112" s="1">
        <v>43836</v>
      </c>
      <c r="F112" t="s">
        <v>20</v>
      </c>
      <c r="G112">
        <v>1</v>
      </c>
      <c r="H112" t="s">
        <v>21</v>
      </c>
      <c r="I112" t="s">
        <v>22</v>
      </c>
      <c r="J112" t="s">
        <v>20</v>
      </c>
      <c r="K112" t="s">
        <v>23</v>
      </c>
      <c r="L112">
        <v>13612.5</v>
      </c>
      <c r="M112" s="1">
        <v>43472</v>
      </c>
      <c r="N112" t="s">
        <v>24</v>
      </c>
      <c r="O112" t="s">
        <v>45</v>
      </c>
      <c r="Q112" s="1">
        <v>43852</v>
      </c>
    </row>
    <row r="113" spans="1:17" x14ac:dyDescent="0.5">
      <c r="A113" t="s">
        <v>34</v>
      </c>
      <c r="B113" t="s">
        <v>213</v>
      </c>
      <c r="C113" t="s">
        <v>19</v>
      </c>
      <c r="D113" s="1">
        <v>43472</v>
      </c>
      <c r="E113" s="1">
        <v>43836</v>
      </c>
      <c r="F113" t="s">
        <v>20</v>
      </c>
      <c r="G113">
        <v>1</v>
      </c>
      <c r="H113" t="s">
        <v>21</v>
      </c>
      <c r="I113" t="s">
        <v>22</v>
      </c>
      <c r="J113" t="s">
        <v>20</v>
      </c>
      <c r="K113" t="s">
        <v>23</v>
      </c>
      <c r="L113">
        <v>6991.55</v>
      </c>
      <c r="M113" s="1">
        <v>43559</v>
      </c>
      <c r="N113" t="s">
        <v>47</v>
      </c>
      <c r="O113" t="s">
        <v>45</v>
      </c>
      <c r="Q113" s="1">
        <v>43852</v>
      </c>
    </row>
    <row r="114" spans="1:17" x14ac:dyDescent="0.5">
      <c r="A114" t="s">
        <v>35</v>
      </c>
      <c r="B114">
        <v>2302003012</v>
      </c>
      <c r="C114" t="s">
        <v>19</v>
      </c>
      <c r="D114" s="1">
        <v>43339</v>
      </c>
      <c r="E114" s="1">
        <v>43703</v>
      </c>
      <c r="F114" t="s">
        <v>37</v>
      </c>
      <c r="G114">
        <v>1</v>
      </c>
      <c r="H114" t="s">
        <v>21</v>
      </c>
      <c r="I114" t="s">
        <v>22</v>
      </c>
      <c r="J114" t="s">
        <v>37</v>
      </c>
      <c r="K114" t="s">
        <v>23</v>
      </c>
      <c r="L114">
        <v>13750</v>
      </c>
      <c r="M114" s="1">
        <v>43339</v>
      </c>
      <c r="N114" t="s">
        <v>24</v>
      </c>
      <c r="O114" t="s">
        <v>25</v>
      </c>
      <c r="Q114" s="1">
        <v>43852</v>
      </c>
    </row>
    <row r="115" spans="1:17" x14ac:dyDescent="0.5">
      <c r="A115" t="s">
        <v>38</v>
      </c>
      <c r="B115">
        <v>41045400</v>
      </c>
      <c r="C115" t="s">
        <v>19</v>
      </c>
      <c r="D115" s="1">
        <v>43543</v>
      </c>
      <c r="E115" s="1">
        <v>43908</v>
      </c>
      <c r="F115" t="s">
        <v>37</v>
      </c>
      <c r="G115">
        <v>13</v>
      </c>
      <c r="H115" t="s">
        <v>212</v>
      </c>
      <c r="I115" t="s">
        <v>22</v>
      </c>
      <c r="J115" t="s">
        <v>37</v>
      </c>
      <c r="K115" t="s">
        <v>28</v>
      </c>
      <c r="L115">
        <v>70125</v>
      </c>
      <c r="M115" s="1">
        <v>43543</v>
      </c>
      <c r="N115" t="s">
        <v>24</v>
      </c>
      <c r="O115" t="s">
        <v>25</v>
      </c>
      <c r="Q115" s="1">
        <v>43852</v>
      </c>
    </row>
    <row r="116" spans="1:17" x14ac:dyDescent="0.5">
      <c r="A116" t="s">
        <v>43</v>
      </c>
      <c r="B116">
        <v>41045403</v>
      </c>
      <c r="C116" t="s">
        <v>19</v>
      </c>
      <c r="D116" s="1">
        <v>43543</v>
      </c>
      <c r="E116" s="1">
        <v>43908</v>
      </c>
      <c r="F116" t="s">
        <v>37</v>
      </c>
      <c r="G116">
        <v>13</v>
      </c>
      <c r="H116" t="s">
        <v>212</v>
      </c>
      <c r="I116" t="s">
        <v>22</v>
      </c>
      <c r="J116" t="s">
        <v>37</v>
      </c>
      <c r="K116" t="s">
        <v>28</v>
      </c>
      <c r="L116">
        <v>70125</v>
      </c>
      <c r="M116" s="1">
        <v>43543</v>
      </c>
      <c r="N116" t="s">
        <v>24</v>
      </c>
      <c r="O116" t="s">
        <v>25</v>
      </c>
      <c r="Q116" s="1">
        <v>43852</v>
      </c>
    </row>
    <row r="117" spans="1:17" x14ac:dyDescent="0.5">
      <c r="A117" t="s">
        <v>46</v>
      </c>
      <c r="B117" t="s">
        <v>214</v>
      </c>
      <c r="C117" t="s">
        <v>31</v>
      </c>
      <c r="D117" s="1">
        <v>43191</v>
      </c>
      <c r="E117" s="1">
        <v>43555</v>
      </c>
      <c r="F117" t="s">
        <v>20</v>
      </c>
      <c r="G117">
        <v>3</v>
      </c>
      <c r="H117" t="s">
        <v>64</v>
      </c>
      <c r="I117" t="s">
        <v>22</v>
      </c>
      <c r="J117" t="s">
        <v>65</v>
      </c>
      <c r="K117" t="s">
        <v>23</v>
      </c>
      <c r="L117">
        <v>208122.92</v>
      </c>
      <c r="M117" s="1">
        <v>43191</v>
      </c>
      <c r="N117" t="s">
        <v>24</v>
      </c>
      <c r="O117" t="s">
        <v>25</v>
      </c>
      <c r="Q117" s="1">
        <v>43852</v>
      </c>
    </row>
    <row r="118" spans="1:17" x14ac:dyDescent="0.5">
      <c r="A118" t="s">
        <v>48</v>
      </c>
      <c r="B118">
        <v>8502066</v>
      </c>
      <c r="C118" t="s">
        <v>31</v>
      </c>
      <c r="D118" s="1">
        <v>43160</v>
      </c>
      <c r="E118" s="1">
        <v>43524</v>
      </c>
      <c r="F118" t="s">
        <v>20</v>
      </c>
      <c r="G118">
        <v>3</v>
      </c>
      <c r="H118" t="s">
        <v>64</v>
      </c>
      <c r="I118" t="s">
        <v>22</v>
      </c>
      <c r="J118" t="s">
        <v>65</v>
      </c>
      <c r="K118" t="s">
        <v>23</v>
      </c>
      <c r="L118">
        <v>45375.15</v>
      </c>
      <c r="M118" s="1">
        <v>43160</v>
      </c>
      <c r="N118" t="s">
        <v>24</v>
      </c>
      <c r="O118" t="s">
        <v>45</v>
      </c>
      <c r="Q118" s="1">
        <v>43852</v>
      </c>
    </row>
    <row r="119" spans="1:17" x14ac:dyDescent="0.5">
      <c r="A119" t="s">
        <v>49</v>
      </c>
      <c r="B119">
        <v>8502066</v>
      </c>
      <c r="C119" t="s">
        <v>31</v>
      </c>
      <c r="D119" s="1">
        <v>43160</v>
      </c>
      <c r="E119" s="1">
        <v>43524</v>
      </c>
      <c r="F119" t="s">
        <v>20</v>
      </c>
      <c r="G119">
        <v>3</v>
      </c>
      <c r="H119" t="s">
        <v>64</v>
      </c>
      <c r="I119" t="s">
        <v>22</v>
      </c>
      <c r="J119" t="s">
        <v>65</v>
      </c>
      <c r="K119" t="s">
        <v>23</v>
      </c>
      <c r="L119">
        <v>18150</v>
      </c>
      <c r="M119" s="1">
        <v>43468</v>
      </c>
      <c r="N119" t="s">
        <v>47</v>
      </c>
      <c r="O119" t="s">
        <v>45</v>
      </c>
      <c r="Q119" s="1">
        <v>43852</v>
      </c>
    </row>
    <row r="120" spans="1:17" x14ac:dyDescent="0.5">
      <c r="A120" t="s">
        <v>51</v>
      </c>
      <c r="B120" t="s">
        <v>215</v>
      </c>
      <c r="C120" t="s">
        <v>19</v>
      </c>
      <c r="D120" s="1">
        <v>43525</v>
      </c>
      <c r="E120" s="1">
        <v>44012</v>
      </c>
      <c r="F120" t="s">
        <v>20</v>
      </c>
      <c r="G120">
        <v>3</v>
      </c>
      <c r="H120" t="s">
        <v>64</v>
      </c>
      <c r="I120" t="s">
        <v>22</v>
      </c>
      <c r="J120" t="s">
        <v>65</v>
      </c>
      <c r="K120" t="s">
        <v>23</v>
      </c>
      <c r="L120">
        <v>45375.15</v>
      </c>
      <c r="M120" s="1">
        <v>43525</v>
      </c>
      <c r="N120" t="s">
        <v>24</v>
      </c>
      <c r="O120" t="s">
        <v>45</v>
      </c>
      <c r="Q120" s="1">
        <v>43852</v>
      </c>
    </row>
    <row r="121" spans="1:17" x14ac:dyDescent="0.5">
      <c r="A121" t="s">
        <v>53</v>
      </c>
      <c r="B121" t="s">
        <v>215</v>
      </c>
      <c r="C121" t="s">
        <v>19</v>
      </c>
      <c r="D121" s="1">
        <v>43525</v>
      </c>
      <c r="E121" s="1">
        <v>43890</v>
      </c>
      <c r="F121" t="s">
        <v>20</v>
      </c>
      <c r="G121">
        <v>3</v>
      </c>
      <c r="H121" t="s">
        <v>64</v>
      </c>
      <c r="I121" t="s">
        <v>22</v>
      </c>
      <c r="J121" t="s">
        <v>65</v>
      </c>
      <c r="K121" t="s">
        <v>23</v>
      </c>
      <c r="L121">
        <v>45375</v>
      </c>
      <c r="M121" s="1">
        <v>43666</v>
      </c>
      <c r="N121" t="s">
        <v>47</v>
      </c>
      <c r="O121" t="s">
        <v>45</v>
      </c>
      <c r="Q121" s="1">
        <v>43852</v>
      </c>
    </row>
    <row r="122" spans="1:17" x14ac:dyDescent="0.5">
      <c r="A122" t="s">
        <v>55</v>
      </c>
      <c r="B122" t="s">
        <v>215</v>
      </c>
      <c r="C122" t="s">
        <v>19</v>
      </c>
      <c r="D122" s="1">
        <v>43525</v>
      </c>
      <c r="E122" s="1">
        <v>43890</v>
      </c>
      <c r="F122" t="s">
        <v>20</v>
      </c>
      <c r="G122">
        <v>3</v>
      </c>
      <c r="H122" t="s">
        <v>64</v>
      </c>
      <c r="I122" t="s">
        <v>22</v>
      </c>
      <c r="J122" t="s">
        <v>65</v>
      </c>
      <c r="K122" t="s">
        <v>23</v>
      </c>
      <c r="L122">
        <v>0</v>
      </c>
      <c r="M122" s="1"/>
      <c r="N122" t="s">
        <v>47</v>
      </c>
      <c r="O122" t="s">
        <v>45</v>
      </c>
      <c r="Q122" s="1">
        <v>43852</v>
      </c>
    </row>
    <row r="123" spans="1:17" x14ac:dyDescent="0.5">
      <c r="A123" t="s">
        <v>56</v>
      </c>
      <c r="B123">
        <v>2.9992015408021002E+18</v>
      </c>
      <c r="C123" t="s">
        <v>31</v>
      </c>
      <c r="D123" s="1">
        <v>43405</v>
      </c>
      <c r="E123" s="1">
        <v>43769</v>
      </c>
      <c r="F123" t="s">
        <v>40</v>
      </c>
      <c r="G123">
        <v>10</v>
      </c>
      <c r="H123" t="s">
        <v>41</v>
      </c>
      <c r="I123" t="s">
        <v>22</v>
      </c>
      <c r="J123" t="s">
        <v>42</v>
      </c>
      <c r="K123" t="s">
        <v>23</v>
      </c>
      <c r="L123">
        <v>6157.88</v>
      </c>
      <c r="M123" s="1">
        <v>43405</v>
      </c>
      <c r="N123" t="s">
        <v>24</v>
      </c>
      <c r="O123" t="s">
        <v>45</v>
      </c>
      <c r="Q123" s="1">
        <v>43852</v>
      </c>
    </row>
    <row r="124" spans="1:17" x14ac:dyDescent="0.5">
      <c r="A124" t="s">
        <v>58</v>
      </c>
      <c r="B124">
        <v>2.9992015408021002E+18</v>
      </c>
      <c r="C124" t="s">
        <v>31</v>
      </c>
      <c r="D124" s="1">
        <v>43405</v>
      </c>
      <c r="E124" s="1">
        <v>43769</v>
      </c>
      <c r="F124" t="s">
        <v>40</v>
      </c>
      <c r="G124">
        <v>10</v>
      </c>
      <c r="H124" t="s">
        <v>41</v>
      </c>
      <c r="I124" t="s">
        <v>22</v>
      </c>
      <c r="J124" t="s">
        <v>42</v>
      </c>
      <c r="K124" t="s">
        <v>23</v>
      </c>
      <c r="M124" s="1">
        <v>43439</v>
      </c>
      <c r="N124" t="s">
        <v>47</v>
      </c>
      <c r="O124" t="s">
        <v>45</v>
      </c>
      <c r="Q124" s="1">
        <v>43852</v>
      </c>
    </row>
    <row r="125" spans="1:17" x14ac:dyDescent="0.5">
      <c r="A125" t="s">
        <v>62</v>
      </c>
      <c r="B125">
        <v>2.9992015408021002E+18</v>
      </c>
      <c r="C125" t="s">
        <v>31</v>
      </c>
      <c r="D125" s="1">
        <v>43405</v>
      </c>
      <c r="E125" s="1">
        <v>43769</v>
      </c>
      <c r="F125" t="s">
        <v>40</v>
      </c>
      <c r="G125">
        <v>10</v>
      </c>
      <c r="H125" t="s">
        <v>41</v>
      </c>
      <c r="I125" t="s">
        <v>22</v>
      </c>
      <c r="J125" t="s">
        <v>42</v>
      </c>
      <c r="K125" t="s">
        <v>23</v>
      </c>
      <c r="L125">
        <v>113.48</v>
      </c>
      <c r="M125" s="1">
        <v>43504</v>
      </c>
      <c r="N125" t="s">
        <v>47</v>
      </c>
      <c r="O125" t="s">
        <v>45</v>
      </c>
      <c r="Q125" s="1">
        <v>43852</v>
      </c>
    </row>
    <row r="126" spans="1:17" x14ac:dyDescent="0.5">
      <c r="A126" t="s">
        <v>63</v>
      </c>
      <c r="B126">
        <v>2.9992015408021002E+18</v>
      </c>
      <c r="C126" t="s">
        <v>19</v>
      </c>
      <c r="D126" s="1">
        <v>43770</v>
      </c>
      <c r="E126" s="1">
        <v>44135</v>
      </c>
      <c r="F126" t="s">
        <v>40</v>
      </c>
      <c r="G126">
        <v>10</v>
      </c>
      <c r="H126" t="s">
        <v>41</v>
      </c>
      <c r="I126" t="s">
        <v>22</v>
      </c>
      <c r="J126" t="s">
        <v>42</v>
      </c>
      <c r="K126" t="s">
        <v>23</v>
      </c>
      <c r="L126">
        <v>4302.3</v>
      </c>
      <c r="M126" s="1">
        <v>43770</v>
      </c>
      <c r="N126" t="s">
        <v>24</v>
      </c>
      <c r="O126" t="s">
        <v>23</v>
      </c>
      <c r="Q126" s="1">
        <v>43852</v>
      </c>
    </row>
    <row r="127" spans="1:17" x14ac:dyDescent="0.5">
      <c r="A127" t="s">
        <v>67</v>
      </c>
      <c r="B127" t="s">
        <v>216</v>
      </c>
      <c r="C127" t="s">
        <v>19</v>
      </c>
      <c r="D127" s="1">
        <v>43602</v>
      </c>
      <c r="E127" s="1">
        <v>43967</v>
      </c>
      <c r="F127" t="s">
        <v>40</v>
      </c>
      <c r="G127">
        <v>10</v>
      </c>
      <c r="H127" t="s">
        <v>41</v>
      </c>
      <c r="I127" t="s">
        <v>22</v>
      </c>
      <c r="J127" t="s">
        <v>42</v>
      </c>
      <c r="K127" t="s">
        <v>23</v>
      </c>
      <c r="L127">
        <v>52500</v>
      </c>
      <c r="M127" s="1">
        <v>43602</v>
      </c>
      <c r="N127" t="s">
        <v>24</v>
      </c>
      <c r="O127" t="s">
        <v>25</v>
      </c>
      <c r="Q127" s="1">
        <v>43852</v>
      </c>
    </row>
    <row r="128" spans="1:17" x14ac:dyDescent="0.5">
      <c r="A128" t="s">
        <v>69</v>
      </c>
      <c r="B128" t="s">
        <v>217</v>
      </c>
      <c r="C128" t="s">
        <v>31</v>
      </c>
      <c r="D128" s="1">
        <v>43282</v>
      </c>
      <c r="E128" s="1">
        <v>43646</v>
      </c>
      <c r="F128" t="s">
        <v>36</v>
      </c>
      <c r="G128">
        <v>3</v>
      </c>
      <c r="H128" t="s">
        <v>64</v>
      </c>
      <c r="I128" t="s">
        <v>22</v>
      </c>
      <c r="J128" t="s">
        <v>65</v>
      </c>
      <c r="K128" t="s">
        <v>66</v>
      </c>
      <c r="L128">
        <v>1147.82</v>
      </c>
      <c r="M128" s="1">
        <v>43646</v>
      </c>
      <c r="N128" t="s">
        <v>24</v>
      </c>
      <c r="O128" t="s">
        <v>25</v>
      </c>
      <c r="Q128" s="1">
        <v>43852</v>
      </c>
    </row>
    <row r="129" spans="1:17" x14ac:dyDescent="0.5">
      <c r="A129" t="s">
        <v>71</v>
      </c>
      <c r="B129" t="s">
        <v>218</v>
      </c>
      <c r="C129" t="s">
        <v>31</v>
      </c>
      <c r="D129" s="1">
        <v>43282</v>
      </c>
      <c r="E129" s="1">
        <v>43646</v>
      </c>
      <c r="F129" t="s">
        <v>37</v>
      </c>
      <c r="G129">
        <v>3</v>
      </c>
      <c r="H129" t="s">
        <v>64</v>
      </c>
      <c r="I129" t="s">
        <v>22</v>
      </c>
      <c r="J129" t="s">
        <v>65</v>
      </c>
      <c r="K129" t="s">
        <v>23</v>
      </c>
      <c r="L129">
        <v>1896.63</v>
      </c>
      <c r="M129" s="1">
        <v>43282</v>
      </c>
      <c r="N129" t="s">
        <v>24</v>
      </c>
      <c r="O129" t="s">
        <v>25</v>
      </c>
      <c r="Q129" s="1">
        <v>43852</v>
      </c>
    </row>
    <row r="130" spans="1:17" x14ac:dyDescent="0.5">
      <c r="A130" t="s">
        <v>72</v>
      </c>
      <c r="B130" t="s">
        <v>219</v>
      </c>
      <c r="C130" t="s">
        <v>31</v>
      </c>
      <c r="D130" s="1">
        <v>43283</v>
      </c>
      <c r="E130" s="1">
        <v>43646</v>
      </c>
      <c r="F130" t="s">
        <v>37</v>
      </c>
      <c r="G130">
        <v>3</v>
      </c>
      <c r="H130" t="s">
        <v>64</v>
      </c>
      <c r="I130" t="s">
        <v>22</v>
      </c>
      <c r="J130" t="s">
        <v>65</v>
      </c>
      <c r="K130" t="s">
        <v>23</v>
      </c>
      <c r="L130">
        <v>0</v>
      </c>
      <c r="M130" s="1">
        <v>43646</v>
      </c>
      <c r="N130" t="s">
        <v>24</v>
      </c>
      <c r="O130" t="s">
        <v>25</v>
      </c>
      <c r="Q130" s="1">
        <v>43852</v>
      </c>
    </row>
    <row r="131" spans="1:17" x14ac:dyDescent="0.5">
      <c r="A131" t="s">
        <v>74</v>
      </c>
      <c r="B131" t="s">
        <v>220</v>
      </c>
      <c r="C131" t="s">
        <v>31</v>
      </c>
      <c r="D131" s="1">
        <v>43282</v>
      </c>
      <c r="E131" s="1">
        <v>43646</v>
      </c>
      <c r="F131" t="s">
        <v>37</v>
      </c>
      <c r="G131">
        <v>3</v>
      </c>
      <c r="H131" t="s">
        <v>64</v>
      </c>
      <c r="I131" t="s">
        <v>22</v>
      </c>
      <c r="J131" t="s">
        <v>65</v>
      </c>
      <c r="K131" t="s">
        <v>23</v>
      </c>
      <c r="L131">
        <v>48125</v>
      </c>
      <c r="M131" s="1">
        <v>43282</v>
      </c>
      <c r="N131" t="s">
        <v>24</v>
      </c>
      <c r="O131" t="s">
        <v>25</v>
      </c>
      <c r="Q131" s="1">
        <v>43852</v>
      </c>
    </row>
    <row r="132" spans="1:17" x14ac:dyDescent="0.5">
      <c r="A132" t="s">
        <v>76</v>
      </c>
      <c r="B132" t="s">
        <v>221</v>
      </c>
      <c r="C132" t="s">
        <v>31</v>
      </c>
      <c r="D132" s="1">
        <v>43282</v>
      </c>
      <c r="E132" s="1">
        <v>43646</v>
      </c>
      <c r="F132" t="s">
        <v>32</v>
      </c>
      <c r="G132">
        <v>3</v>
      </c>
      <c r="H132" t="s">
        <v>64</v>
      </c>
      <c r="I132" t="s">
        <v>22</v>
      </c>
      <c r="J132" t="s">
        <v>65</v>
      </c>
      <c r="K132" t="s">
        <v>23</v>
      </c>
      <c r="L132">
        <v>13560.92</v>
      </c>
      <c r="M132" s="1">
        <v>43282</v>
      </c>
      <c r="N132" t="s">
        <v>24</v>
      </c>
      <c r="O132" t="s">
        <v>25</v>
      </c>
      <c r="Q132" s="1">
        <v>43852</v>
      </c>
    </row>
    <row r="133" spans="1:17" x14ac:dyDescent="0.5">
      <c r="A133" t="s">
        <v>78</v>
      </c>
      <c r="B133" t="s">
        <v>222</v>
      </c>
      <c r="C133" t="s">
        <v>31</v>
      </c>
      <c r="D133" s="1">
        <v>43282</v>
      </c>
      <c r="E133" s="1">
        <v>43646</v>
      </c>
      <c r="F133" t="s">
        <v>32</v>
      </c>
      <c r="G133">
        <v>3</v>
      </c>
      <c r="H133" t="s">
        <v>64</v>
      </c>
      <c r="I133" t="s">
        <v>22</v>
      </c>
      <c r="J133" t="s">
        <v>65</v>
      </c>
      <c r="K133" t="s">
        <v>23</v>
      </c>
      <c r="L133">
        <v>55052.69</v>
      </c>
      <c r="M133" s="1">
        <v>43282</v>
      </c>
      <c r="N133" t="s">
        <v>24</v>
      </c>
      <c r="O133" t="s">
        <v>25</v>
      </c>
      <c r="Q133" s="1">
        <v>43852</v>
      </c>
    </row>
    <row r="134" spans="1:17" x14ac:dyDescent="0.5">
      <c r="A134" t="s">
        <v>79</v>
      </c>
      <c r="B134" t="s">
        <v>223</v>
      </c>
      <c r="C134" t="s">
        <v>31</v>
      </c>
      <c r="D134" s="1">
        <v>43282</v>
      </c>
      <c r="E134" s="1">
        <v>43646</v>
      </c>
      <c r="F134" t="s">
        <v>32</v>
      </c>
      <c r="G134">
        <v>3</v>
      </c>
      <c r="H134" t="s">
        <v>64</v>
      </c>
      <c r="I134" t="s">
        <v>22</v>
      </c>
      <c r="J134" t="s">
        <v>65</v>
      </c>
      <c r="K134" t="s">
        <v>23</v>
      </c>
      <c r="L134">
        <v>14131.43</v>
      </c>
      <c r="M134" s="1">
        <v>43282</v>
      </c>
      <c r="N134" t="s">
        <v>24</v>
      </c>
      <c r="O134" t="s">
        <v>25</v>
      </c>
      <c r="Q134" s="1">
        <v>43852</v>
      </c>
    </row>
    <row r="135" spans="1:17" x14ac:dyDescent="0.5">
      <c r="A135" t="s">
        <v>80</v>
      </c>
      <c r="B135" t="s">
        <v>224</v>
      </c>
      <c r="C135" t="s">
        <v>31</v>
      </c>
      <c r="D135" s="1">
        <v>43282</v>
      </c>
      <c r="E135" s="1">
        <v>43646</v>
      </c>
      <c r="F135" t="s">
        <v>36</v>
      </c>
      <c r="G135">
        <v>3</v>
      </c>
      <c r="H135" t="s">
        <v>64</v>
      </c>
      <c r="I135" t="s">
        <v>22</v>
      </c>
      <c r="J135" t="s">
        <v>65</v>
      </c>
      <c r="K135" t="s">
        <v>23</v>
      </c>
      <c r="L135">
        <v>3125</v>
      </c>
      <c r="M135" s="1">
        <v>43282</v>
      </c>
      <c r="N135" t="s">
        <v>24</v>
      </c>
      <c r="O135" t="s">
        <v>25</v>
      </c>
      <c r="Q135" s="1">
        <v>43852</v>
      </c>
    </row>
    <row r="136" spans="1:17" x14ac:dyDescent="0.5">
      <c r="A136" t="s">
        <v>81</v>
      </c>
      <c r="B136" t="s">
        <v>225</v>
      </c>
      <c r="C136" t="s">
        <v>31</v>
      </c>
      <c r="D136" s="1">
        <v>43282</v>
      </c>
      <c r="E136" s="1">
        <v>43646</v>
      </c>
      <c r="F136" t="s">
        <v>36</v>
      </c>
      <c r="G136">
        <v>3</v>
      </c>
      <c r="H136" t="s">
        <v>64</v>
      </c>
      <c r="I136" t="s">
        <v>22</v>
      </c>
      <c r="J136" t="s">
        <v>65</v>
      </c>
      <c r="K136" t="s">
        <v>23</v>
      </c>
      <c r="L136">
        <v>1125</v>
      </c>
      <c r="M136" s="1">
        <v>43282</v>
      </c>
      <c r="N136" t="s">
        <v>24</v>
      </c>
      <c r="O136" t="s">
        <v>25</v>
      </c>
      <c r="Q136" s="1">
        <v>43852</v>
      </c>
    </row>
    <row r="137" spans="1:17" x14ac:dyDescent="0.5">
      <c r="A137" t="s">
        <v>84</v>
      </c>
      <c r="B137" t="s">
        <v>226</v>
      </c>
      <c r="C137" t="s">
        <v>31</v>
      </c>
      <c r="D137" s="1">
        <v>43282</v>
      </c>
      <c r="E137" s="1">
        <v>43646</v>
      </c>
      <c r="F137" t="s">
        <v>36</v>
      </c>
      <c r="G137">
        <v>3</v>
      </c>
      <c r="H137" t="s">
        <v>64</v>
      </c>
      <c r="I137" t="s">
        <v>22</v>
      </c>
      <c r="J137" t="s">
        <v>65</v>
      </c>
      <c r="K137" t="s">
        <v>23</v>
      </c>
      <c r="L137">
        <v>4706.25</v>
      </c>
      <c r="M137" s="1">
        <v>43282</v>
      </c>
      <c r="N137" t="s">
        <v>24</v>
      </c>
      <c r="O137" t="s">
        <v>25</v>
      </c>
      <c r="Q137" s="1">
        <v>43852</v>
      </c>
    </row>
    <row r="138" spans="1:17" x14ac:dyDescent="0.5">
      <c r="A138" t="s">
        <v>86</v>
      </c>
      <c r="B138" t="s">
        <v>227</v>
      </c>
      <c r="C138" t="s">
        <v>19</v>
      </c>
      <c r="D138" s="1">
        <v>43647</v>
      </c>
      <c r="E138" s="1">
        <v>44012</v>
      </c>
      <c r="F138" t="s">
        <v>36</v>
      </c>
      <c r="G138">
        <v>3</v>
      </c>
      <c r="H138" t="s">
        <v>64</v>
      </c>
      <c r="I138" t="s">
        <v>22</v>
      </c>
      <c r="J138" t="s">
        <v>65</v>
      </c>
      <c r="K138" t="s">
        <v>23</v>
      </c>
      <c r="L138">
        <v>825</v>
      </c>
      <c r="M138" s="1">
        <v>43647</v>
      </c>
      <c r="N138" t="s">
        <v>24</v>
      </c>
      <c r="O138" t="s">
        <v>23</v>
      </c>
      <c r="Q138" s="1">
        <v>43852</v>
      </c>
    </row>
    <row r="139" spans="1:17" x14ac:dyDescent="0.5">
      <c r="A139" t="s">
        <v>87</v>
      </c>
      <c r="B139" t="s">
        <v>228</v>
      </c>
      <c r="C139" t="s">
        <v>19</v>
      </c>
      <c r="D139" s="1">
        <v>43647</v>
      </c>
      <c r="E139" s="1">
        <v>44012</v>
      </c>
      <c r="F139" t="s">
        <v>37</v>
      </c>
      <c r="G139">
        <v>3</v>
      </c>
      <c r="H139" t="s">
        <v>64</v>
      </c>
      <c r="I139" t="s">
        <v>22</v>
      </c>
      <c r="J139" t="s">
        <v>65</v>
      </c>
      <c r="K139" t="s">
        <v>23</v>
      </c>
      <c r="L139">
        <v>1896.63</v>
      </c>
      <c r="M139" s="1">
        <v>43647</v>
      </c>
      <c r="N139" t="s">
        <v>24</v>
      </c>
      <c r="O139" t="s">
        <v>23</v>
      </c>
      <c r="Q139" s="1">
        <v>43852</v>
      </c>
    </row>
    <row r="140" spans="1:17" x14ac:dyDescent="0.5">
      <c r="A140" t="s">
        <v>88</v>
      </c>
      <c r="B140" t="s">
        <v>229</v>
      </c>
      <c r="C140" t="s">
        <v>19</v>
      </c>
      <c r="D140" s="1">
        <v>43679</v>
      </c>
      <c r="E140" s="1">
        <v>44044</v>
      </c>
      <c r="F140" t="s">
        <v>37</v>
      </c>
      <c r="G140">
        <v>3</v>
      </c>
      <c r="H140" t="s">
        <v>64</v>
      </c>
      <c r="I140" t="s">
        <v>22</v>
      </c>
      <c r="J140" t="s">
        <v>65</v>
      </c>
      <c r="K140" t="s">
        <v>23</v>
      </c>
      <c r="L140">
        <v>19181.25</v>
      </c>
      <c r="M140" s="1">
        <v>43679</v>
      </c>
      <c r="N140" t="s">
        <v>24</v>
      </c>
      <c r="O140" t="s">
        <v>23</v>
      </c>
      <c r="Q140" s="1">
        <v>43852</v>
      </c>
    </row>
    <row r="141" spans="1:17" x14ac:dyDescent="0.5">
      <c r="A141" t="s">
        <v>90</v>
      </c>
      <c r="B141" t="s">
        <v>230</v>
      </c>
      <c r="C141" t="s">
        <v>19</v>
      </c>
      <c r="D141" s="1">
        <v>43647</v>
      </c>
      <c r="E141" s="1">
        <v>44012</v>
      </c>
      <c r="F141" t="s">
        <v>37</v>
      </c>
      <c r="G141">
        <v>3</v>
      </c>
      <c r="H141" t="s">
        <v>64</v>
      </c>
      <c r="I141" t="s">
        <v>22</v>
      </c>
      <c r="J141" t="s">
        <v>65</v>
      </c>
      <c r="K141" t="s">
        <v>23</v>
      </c>
      <c r="L141">
        <v>42500</v>
      </c>
      <c r="M141" s="1">
        <v>43647</v>
      </c>
      <c r="N141" t="s">
        <v>24</v>
      </c>
      <c r="O141" t="s">
        <v>23</v>
      </c>
      <c r="Q141" s="1">
        <v>43852</v>
      </c>
    </row>
    <row r="142" spans="1:17" x14ac:dyDescent="0.5">
      <c r="A142" t="s">
        <v>92</v>
      </c>
      <c r="B142" t="s">
        <v>231</v>
      </c>
      <c r="C142" t="s">
        <v>19</v>
      </c>
      <c r="D142" s="1">
        <v>43647</v>
      </c>
      <c r="E142" s="1">
        <v>44012</v>
      </c>
      <c r="F142" t="s">
        <v>32</v>
      </c>
      <c r="G142">
        <v>3</v>
      </c>
      <c r="H142" t="s">
        <v>64</v>
      </c>
      <c r="I142" t="s">
        <v>22</v>
      </c>
      <c r="J142" t="s">
        <v>65</v>
      </c>
      <c r="K142" t="s">
        <v>23</v>
      </c>
      <c r="L142">
        <v>10917.07</v>
      </c>
      <c r="M142" s="1">
        <v>43647</v>
      </c>
      <c r="N142" t="s">
        <v>24</v>
      </c>
      <c r="O142" t="s">
        <v>23</v>
      </c>
      <c r="Q142" s="1">
        <v>43852</v>
      </c>
    </row>
    <row r="143" spans="1:17" x14ac:dyDescent="0.5">
      <c r="A143" t="s">
        <v>94</v>
      </c>
      <c r="B143" t="s">
        <v>232</v>
      </c>
      <c r="C143" t="s">
        <v>19</v>
      </c>
      <c r="D143" s="1">
        <v>43647</v>
      </c>
      <c r="E143" s="1">
        <v>44012</v>
      </c>
      <c r="F143" t="s">
        <v>32</v>
      </c>
      <c r="G143">
        <v>3</v>
      </c>
      <c r="H143" t="s">
        <v>64</v>
      </c>
      <c r="I143" t="s">
        <v>22</v>
      </c>
      <c r="J143" t="s">
        <v>65</v>
      </c>
      <c r="K143" t="s">
        <v>23</v>
      </c>
      <c r="L143">
        <v>60713.1</v>
      </c>
      <c r="M143" s="1">
        <v>43647</v>
      </c>
      <c r="N143" t="s">
        <v>24</v>
      </c>
      <c r="O143" t="s">
        <v>23</v>
      </c>
      <c r="Q143" s="1">
        <v>43852</v>
      </c>
    </row>
    <row r="144" spans="1:17" x14ac:dyDescent="0.5">
      <c r="A144" t="s">
        <v>96</v>
      </c>
      <c r="B144" t="s">
        <v>233</v>
      </c>
      <c r="C144" t="s">
        <v>19</v>
      </c>
      <c r="D144" s="1">
        <v>43647</v>
      </c>
      <c r="E144" s="1">
        <v>44012</v>
      </c>
      <c r="F144" t="s">
        <v>32</v>
      </c>
      <c r="G144">
        <v>3</v>
      </c>
      <c r="H144" t="s">
        <v>64</v>
      </c>
      <c r="I144" t="s">
        <v>22</v>
      </c>
      <c r="J144" t="s">
        <v>65</v>
      </c>
      <c r="K144" t="s">
        <v>23</v>
      </c>
      <c r="L144">
        <v>12349.97</v>
      </c>
      <c r="M144" s="1">
        <v>43647</v>
      </c>
      <c r="N144" t="s">
        <v>24</v>
      </c>
      <c r="O144" t="s">
        <v>23</v>
      </c>
      <c r="Q144" s="1">
        <v>43852</v>
      </c>
    </row>
    <row r="145" spans="1:17" x14ac:dyDescent="0.5">
      <c r="A145" t="s">
        <v>97</v>
      </c>
      <c r="B145" t="s">
        <v>234</v>
      </c>
      <c r="C145" t="s">
        <v>19</v>
      </c>
      <c r="D145" s="1">
        <v>43647</v>
      </c>
      <c r="E145" s="1">
        <v>44012</v>
      </c>
      <c r="F145" t="s">
        <v>36</v>
      </c>
      <c r="G145">
        <v>3</v>
      </c>
      <c r="H145" t="s">
        <v>64</v>
      </c>
      <c r="I145" t="s">
        <v>22</v>
      </c>
      <c r="J145" t="s">
        <v>65</v>
      </c>
      <c r="K145" t="s">
        <v>23</v>
      </c>
      <c r="L145">
        <v>3375</v>
      </c>
      <c r="M145" s="1">
        <v>43647</v>
      </c>
      <c r="N145" t="s">
        <v>24</v>
      </c>
      <c r="O145" t="s">
        <v>23</v>
      </c>
      <c r="Q145" s="1">
        <v>43852</v>
      </c>
    </row>
    <row r="146" spans="1:17" x14ac:dyDescent="0.5">
      <c r="A146" t="s">
        <v>98</v>
      </c>
      <c r="B146" t="s">
        <v>235</v>
      </c>
      <c r="C146" t="s">
        <v>19</v>
      </c>
      <c r="D146" s="1">
        <v>43647</v>
      </c>
      <c r="E146" s="1">
        <v>44012</v>
      </c>
      <c r="F146" t="s">
        <v>36</v>
      </c>
      <c r="G146">
        <v>3</v>
      </c>
      <c r="H146" t="s">
        <v>64</v>
      </c>
      <c r="I146" t="s">
        <v>22</v>
      </c>
      <c r="J146" t="s">
        <v>65</v>
      </c>
      <c r="K146" t="s">
        <v>23</v>
      </c>
      <c r="L146">
        <v>875</v>
      </c>
      <c r="M146" s="1">
        <v>43647</v>
      </c>
      <c r="N146" t="s">
        <v>24</v>
      </c>
      <c r="O146" t="s">
        <v>23</v>
      </c>
      <c r="Q146" s="1">
        <v>43852</v>
      </c>
    </row>
    <row r="147" spans="1:17" x14ac:dyDescent="0.5">
      <c r="A147" t="s">
        <v>100</v>
      </c>
      <c r="B147" t="s">
        <v>236</v>
      </c>
      <c r="C147" t="s">
        <v>19</v>
      </c>
      <c r="D147" s="1">
        <v>43647</v>
      </c>
      <c r="E147" s="1">
        <v>44012</v>
      </c>
      <c r="F147" t="s">
        <v>36</v>
      </c>
      <c r="G147">
        <v>3</v>
      </c>
      <c r="H147" t="s">
        <v>64</v>
      </c>
      <c r="I147" t="s">
        <v>22</v>
      </c>
      <c r="J147" t="s">
        <v>65</v>
      </c>
      <c r="K147" t="s">
        <v>23</v>
      </c>
      <c r="L147">
        <v>1556.25</v>
      </c>
      <c r="M147" s="1">
        <v>43647</v>
      </c>
      <c r="N147" t="s">
        <v>24</v>
      </c>
      <c r="O147" t="s">
        <v>23</v>
      </c>
      <c r="Q147" s="1">
        <v>43852</v>
      </c>
    </row>
    <row r="148" spans="1:17" x14ac:dyDescent="0.5">
      <c r="A148" t="s">
        <v>102</v>
      </c>
      <c r="B148">
        <v>301004728</v>
      </c>
      <c r="C148" t="s">
        <v>31</v>
      </c>
      <c r="D148" s="1">
        <v>43373</v>
      </c>
      <c r="E148" s="1">
        <v>43737</v>
      </c>
      <c r="F148" t="s">
        <v>37</v>
      </c>
      <c r="G148">
        <v>3</v>
      </c>
      <c r="H148" t="s">
        <v>64</v>
      </c>
      <c r="I148" t="s">
        <v>22</v>
      </c>
      <c r="J148" t="s">
        <v>65</v>
      </c>
      <c r="K148" t="s">
        <v>23</v>
      </c>
      <c r="L148">
        <v>186534.13</v>
      </c>
      <c r="M148" s="1">
        <v>43373</v>
      </c>
      <c r="N148" t="s">
        <v>24</v>
      </c>
      <c r="O148" t="s">
        <v>25</v>
      </c>
      <c r="Q148" s="1">
        <v>43852</v>
      </c>
    </row>
    <row r="149" spans="1:17" x14ac:dyDescent="0.5">
      <c r="A149" t="s">
        <v>103</v>
      </c>
      <c r="B149" t="s">
        <v>237</v>
      </c>
      <c r="C149" t="s">
        <v>19</v>
      </c>
      <c r="D149" s="1">
        <v>43738</v>
      </c>
      <c r="E149" s="1">
        <v>44103</v>
      </c>
      <c r="F149" t="s">
        <v>37</v>
      </c>
      <c r="G149">
        <v>3</v>
      </c>
      <c r="H149" t="s">
        <v>64</v>
      </c>
      <c r="I149" t="s">
        <v>22</v>
      </c>
      <c r="J149" t="s">
        <v>65</v>
      </c>
      <c r="K149" t="s">
        <v>23</v>
      </c>
      <c r="L149">
        <v>202350</v>
      </c>
      <c r="M149" s="1">
        <v>43738</v>
      </c>
      <c r="N149" t="s">
        <v>24</v>
      </c>
      <c r="O149" t="s">
        <v>23</v>
      </c>
      <c r="Q149" s="1">
        <v>43852</v>
      </c>
    </row>
    <row r="150" spans="1:17" x14ac:dyDescent="0.5">
      <c r="A150" t="s">
        <v>105</v>
      </c>
      <c r="B150">
        <v>600010004</v>
      </c>
      <c r="C150" t="s">
        <v>31</v>
      </c>
      <c r="D150" s="1">
        <v>43175</v>
      </c>
      <c r="E150" s="1">
        <v>43539</v>
      </c>
      <c r="F150" t="s">
        <v>36</v>
      </c>
      <c r="G150">
        <v>3</v>
      </c>
      <c r="H150" t="s">
        <v>64</v>
      </c>
      <c r="I150" t="s">
        <v>22</v>
      </c>
      <c r="J150" t="s">
        <v>65</v>
      </c>
      <c r="K150" t="s">
        <v>66</v>
      </c>
      <c r="L150">
        <v>750.63</v>
      </c>
      <c r="M150" s="1">
        <v>43175</v>
      </c>
      <c r="N150" t="s">
        <v>24</v>
      </c>
      <c r="O150" t="s">
        <v>25</v>
      </c>
      <c r="Q150" s="1">
        <v>43852</v>
      </c>
    </row>
    <row r="151" spans="1:17" x14ac:dyDescent="0.5">
      <c r="A151" t="s">
        <v>106</v>
      </c>
      <c r="B151" t="s">
        <v>238</v>
      </c>
      <c r="C151" t="s">
        <v>31</v>
      </c>
      <c r="D151" s="1">
        <v>43540</v>
      </c>
      <c r="E151" s="1">
        <v>43570</v>
      </c>
      <c r="F151" t="s">
        <v>36</v>
      </c>
      <c r="G151">
        <v>3</v>
      </c>
      <c r="H151" t="s">
        <v>64</v>
      </c>
      <c r="I151" t="s">
        <v>22</v>
      </c>
      <c r="J151" t="s">
        <v>65</v>
      </c>
      <c r="K151" t="s">
        <v>23</v>
      </c>
      <c r="L151">
        <v>63.75</v>
      </c>
      <c r="M151" s="1">
        <v>43540</v>
      </c>
      <c r="N151" t="s">
        <v>24</v>
      </c>
      <c r="O151" t="s">
        <v>23</v>
      </c>
      <c r="Q151" s="1">
        <v>43852</v>
      </c>
    </row>
    <row r="152" spans="1:17" x14ac:dyDescent="0.5">
      <c r="A152" t="s">
        <v>108</v>
      </c>
      <c r="B152" t="s">
        <v>239</v>
      </c>
      <c r="C152" t="s">
        <v>19</v>
      </c>
      <c r="D152" s="1">
        <v>43571</v>
      </c>
      <c r="E152" s="1">
        <v>43936</v>
      </c>
      <c r="F152" t="s">
        <v>36</v>
      </c>
      <c r="G152">
        <v>3</v>
      </c>
      <c r="H152" t="s">
        <v>64</v>
      </c>
      <c r="I152" t="s">
        <v>22</v>
      </c>
      <c r="J152" t="s">
        <v>65</v>
      </c>
      <c r="K152" t="s">
        <v>23</v>
      </c>
      <c r="L152">
        <v>1556.5</v>
      </c>
      <c r="M152" s="1">
        <v>43571</v>
      </c>
      <c r="N152" t="s">
        <v>24</v>
      </c>
      <c r="O152" t="s">
        <v>23</v>
      </c>
      <c r="Q152" s="1">
        <v>43852</v>
      </c>
    </row>
    <row r="153" spans="1:17" x14ac:dyDescent="0.5">
      <c r="A153" t="s">
        <v>110</v>
      </c>
      <c r="B153">
        <v>640002231</v>
      </c>
      <c r="C153" t="s">
        <v>31</v>
      </c>
      <c r="D153" s="1">
        <v>43192</v>
      </c>
      <c r="E153" s="1">
        <v>43556</v>
      </c>
      <c r="F153" t="s">
        <v>32</v>
      </c>
      <c r="G153">
        <v>3</v>
      </c>
      <c r="H153" t="s">
        <v>64</v>
      </c>
      <c r="I153" t="s">
        <v>22</v>
      </c>
      <c r="J153" t="s">
        <v>65</v>
      </c>
      <c r="K153" t="s">
        <v>23</v>
      </c>
      <c r="L153">
        <v>46087.63</v>
      </c>
      <c r="M153" s="1">
        <v>43192</v>
      </c>
      <c r="N153" t="s">
        <v>24</v>
      </c>
      <c r="O153" t="s">
        <v>25</v>
      </c>
      <c r="Q153" s="1">
        <v>43852</v>
      </c>
    </row>
    <row r="154" spans="1:17" x14ac:dyDescent="0.5">
      <c r="A154" t="s">
        <v>112</v>
      </c>
      <c r="B154" t="s">
        <v>240</v>
      </c>
      <c r="C154" t="s">
        <v>31</v>
      </c>
      <c r="D154" s="1">
        <v>43557</v>
      </c>
      <c r="E154" s="1">
        <v>43571</v>
      </c>
      <c r="F154" t="s">
        <v>36</v>
      </c>
      <c r="G154">
        <v>3</v>
      </c>
      <c r="H154" t="s">
        <v>64</v>
      </c>
      <c r="I154" t="s">
        <v>22</v>
      </c>
      <c r="J154" t="s">
        <v>65</v>
      </c>
      <c r="K154" t="s">
        <v>23</v>
      </c>
      <c r="L154">
        <v>4362.38</v>
      </c>
      <c r="M154" s="1">
        <v>43557</v>
      </c>
      <c r="N154" t="s">
        <v>24</v>
      </c>
      <c r="O154" t="s">
        <v>23</v>
      </c>
      <c r="Q154" s="1">
        <v>43852</v>
      </c>
    </row>
    <row r="155" spans="1:17" x14ac:dyDescent="0.5">
      <c r="A155" t="s">
        <v>114</v>
      </c>
      <c r="B155" t="s">
        <v>241</v>
      </c>
      <c r="C155" t="s">
        <v>19</v>
      </c>
      <c r="D155" s="1">
        <v>43572</v>
      </c>
      <c r="E155" s="1">
        <v>43922</v>
      </c>
      <c r="F155" t="s">
        <v>36</v>
      </c>
      <c r="G155">
        <v>3</v>
      </c>
      <c r="H155" t="s">
        <v>64</v>
      </c>
      <c r="I155" t="s">
        <v>22</v>
      </c>
      <c r="J155" t="s">
        <v>65</v>
      </c>
      <c r="K155" t="s">
        <v>23</v>
      </c>
      <c r="L155">
        <v>65370</v>
      </c>
      <c r="M155" s="1">
        <v>43572</v>
      </c>
      <c r="N155" t="s">
        <v>24</v>
      </c>
      <c r="O155" t="s">
        <v>23</v>
      </c>
      <c r="Q155" s="1">
        <v>43852</v>
      </c>
    </row>
    <row r="156" spans="1:17" x14ac:dyDescent="0.5">
      <c r="A156" t="s">
        <v>115</v>
      </c>
      <c r="B156">
        <v>22515779</v>
      </c>
      <c r="C156" t="s">
        <v>19</v>
      </c>
      <c r="D156" s="1">
        <v>43738</v>
      </c>
      <c r="E156" s="1">
        <v>44103</v>
      </c>
      <c r="F156" t="s">
        <v>20</v>
      </c>
      <c r="G156">
        <v>3</v>
      </c>
      <c r="H156" t="s">
        <v>64</v>
      </c>
      <c r="I156" t="s">
        <v>22</v>
      </c>
      <c r="J156" t="s">
        <v>65</v>
      </c>
      <c r="K156" t="s">
        <v>66</v>
      </c>
      <c r="L156">
        <v>44259.67</v>
      </c>
      <c r="M156" s="1">
        <v>43738</v>
      </c>
      <c r="N156" t="s">
        <v>24</v>
      </c>
      <c r="O156" t="s">
        <v>25</v>
      </c>
      <c r="Q156" s="1">
        <v>43852</v>
      </c>
    </row>
    <row r="157" spans="1:17" x14ac:dyDescent="0.5">
      <c r="A157" t="s">
        <v>117</v>
      </c>
      <c r="B157">
        <v>22531899</v>
      </c>
      <c r="C157" t="s">
        <v>19</v>
      </c>
      <c r="D157" s="1">
        <v>43765</v>
      </c>
      <c r="E157" s="1">
        <v>44130</v>
      </c>
      <c r="F157" t="s">
        <v>20</v>
      </c>
      <c r="G157">
        <v>3</v>
      </c>
      <c r="H157" t="s">
        <v>64</v>
      </c>
      <c r="I157" t="s">
        <v>22</v>
      </c>
      <c r="J157" t="s">
        <v>20</v>
      </c>
      <c r="K157" t="s">
        <v>23</v>
      </c>
      <c r="L157">
        <v>35112</v>
      </c>
      <c r="M157" s="1">
        <v>43765</v>
      </c>
      <c r="N157" t="s">
        <v>24</v>
      </c>
      <c r="O157" t="s">
        <v>23</v>
      </c>
      <c r="Q157" s="1">
        <v>43852</v>
      </c>
    </row>
    <row r="158" spans="1:17" x14ac:dyDescent="0.5">
      <c r="A158" t="s">
        <v>119</v>
      </c>
      <c r="B158">
        <v>22531899</v>
      </c>
      <c r="C158" t="s">
        <v>19</v>
      </c>
      <c r="D158" s="1">
        <v>43765</v>
      </c>
      <c r="E158" s="1">
        <v>44130</v>
      </c>
      <c r="F158" t="s">
        <v>20</v>
      </c>
      <c r="G158">
        <v>3</v>
      </c>
      <c r="H158" t="s">
        <v>64</v>
      </c>
      <c r="I158" t="s">
        <v>22</v>
      </c>
      <c r="J158" t="s">
        <v>20</v>
      </c>
      <c r="K158" t="s">
        <v>23</v>
      </c>
      <c r="L158">
        <v>15048</v>
      </c>
      <c r="M158" s="1">
        <v>43765</v>
      </c>
      <c r="N158" t="s">
        <v>24</v>
      </c>
      <c r="O158" t="s">
        <v>23</v>
      </c>
      <c r="Q158" s="1">
        <v>43852</v>
      </c>
    </row>
    <row r="159" spans="1:17" x14ac:dyDescent="0.5">
      <c r="A159" t="s">
        <v>120</v>
      </c>
      <c r="B159">
        <v>32099602</v>
      </c>
      <c r="C159" t="s">
        <v>31</v>
      </c>
      <c r="D159" s="1">
        <v>43123</v>
      </c>
      <c r="E159" s="1">
        <v>43487</v>
      </c>
      <c r="F159" t="s">
        <v>202</v>
      </c>
      <c r="G159">
        <v>12</v>
      </c>
      <c r="H159" t="s">
        <v>83</v>
      </c>
      <c r="I159" t="s">
        <v>22</v>
      </c>
      <c r="J159" t="s">
        <v>65</v>
      </c>
      <c r="K159" t="s">
        <v>23</v>
      </c>
      <c r="L159">
        <v>1072.3399999999999</v>
      </c>
      <c r="M159" s="1">
        <v>43123</v>
      </c>
      <c r="N159" t="s">
        <v>24</v>
      </c>
      <c r="O159" t="s">
        <v>25</v>
      </c>
      <c r="Q159" s="1">
        <v>43852</v>
      </c>
    </row>
    <row r="160" spans="1:17" x14ac:dyDescent="0.5">
      <c r="A160" t="s">
        <v>122</v>
      </c>
      <c r="B160" t="s">
        <v>242</v>
      </c>
      <c r="C160" t="s">
        <v>19</v>
      </c>
      <c r="D160" s="1">
        <v>43488</v>
      </c>
      <c r="E160" s="1">
        <v>43852</v>
      </c>
      <c r="F160" t="s">
        <v>202</v>
      </c>
      <c r="G160">
        <v>3</v>
      </c>
      <c r="H160" t="s">
        <v>64</v>
      </c>
      <c r="I160" t="s">
        <v>22</v>
      </c>
      <c r="J160" t="s">
        <v>65</v>
      </c>
      <c r="K160" t="s">
        <v>23</v>
      </c>
      <c r="L160">
        <v>1111.77</v>
      </c>
      <c r="M160" s="1">
        <v>43488</v>
      </c>
      <c r="N160" t="s">
        <v>24</v>
      </c>
      <c r="O160" t="s">
        <v>23</v>
      </c>
      <c r="Q160" s="1">
        <v>43852</v>
      </c>
    </row>
    <row r="161" spans="1:17" x14ac:dyDescent="0.5">
      <c r="A161" t="s">
        <v>124</v>
      </c>
      <c r="B161">
        <v>3.2134002011810001E+23</v>
      </c>
      <c r="C161" t="s">
        <v>31</v>
      </c>
      <c r="D161" s="1">
        <v>43312</v>
      </c>
      <c r="E161" s="1">
        <v>43676</v>
      </c>
      <c r="F161" t="s">
        <v>202</v>
      </c>
      <c r="G161">
        <v>3</v>
      </c>
      <c r="H161" t="s">
        <v>64</v>
      </c>
      <c r="I161" t="s">
        <v>22</v>
      </c>
      <c r="J161" t="s">
        <v>65</v>
      </c>
      <c r="K161" t="s">
        <v>66</v>
      </c>
      <c r="L161">
        <v>27057.200000000001</v>
      </c>
      <c r="M161" s="1">
        <v>43312</v>
      </c>
      <c r="N161" t="s">
        <v>24</v>
      </c>
      <c r="O161" t="s">
        <v>25</v>
      </c>
      <c r="Q161" s="1">
        <v>43852</v>
      </c>
    </row>
    <row r="162" spans="1:17" x14ac:dyDescent="0.5">
      <c r="A162" t="s">
        <v>126</v>
      </c>
      <c r="B162">
        <v>3.213400201191E+23</v>
      </c>
      <c r="C162" t="s">
        <v>19</v>
      </c>
      <c r="D162" s="1">
        <v>43677</v>
      </c>
      <c r="E162" s="1">
        <v>44042</v>
      </c>
      <c r="F162" t="s">
        <v>202</v>
      </c>
      <c r="G162">
        <v>3</v>
      </c>
      <c r="H162" t="s">
        <v>64</v>
      </c>
      <c r="I162" t="s">
        <v>22</v>
      </c>
      <c r="J162" t="s">
        <v>65</v>
      </c>
      <c r="K162" t="s">
        <v>66</v>
      </c>
      <c r="L162">
        <v>87500</v>
      </c>
      <c r="M162" s="1">
        <v>43677</v>
      </c>
      <c r="N162" t="s">
        <v>24</v>
      </c>
      <c r="O162" t="s">
        <v>23</v>
      </c>
      <c r="Q162" s="1">
        <v>43852</v>
      </c>
    </row>
    <row r="163" spans="1:17" x14ac:dyDescent="0.5">
      <c r="A163" t="s">
        <v>128</v>
      </c>
      <c r="B163" t="s">
        <v>243</v>
      </c>
      <c r="C163" t="s">
        <v>31</v>
      </c>
      <c r="D163" s="1">
        <v>43431</v>
      </c>
      <c r="E163" s="1">
        <v>43795</v>
      </c>
      <c r="F163" t="s">
        <v>40</v>
      </c>
      <c r="G163">
        <v>10</v>
      </c>
      <c r="H163" t="s">
        <v>41</v>
      </c>
      <c r="I163" t="s">
        <v>22</v>
      </c>
      <c r="J163" t="s">
        <v>42</v>
      </c>
      <c r="K163" t="s">
        <v>23</v>
      </c>
      <c r="L163">
        <v>7647.1</v>
      </c>
      <c r="M163" s="1">
        <v>43431</v>
      </c>
      <c r="N163" t="s">
        <v>24</v>
      </c>
      <c r="O163" t="s">
        <v>25</v>
      </c>
      <c r="Q163" s="1">
        <v>43852</v>
      </c>
    </row>
    <row r="164" spans="1:17" x14ac:dyDescent="0.5">
      <c r="A164" t="s">
        <v>130</v>
      </c>
      <c r="B164" t="s">
        <v>244</v>
      </c>
      <c r="C164" t="s">
        <v>19</v>
      </c>
      <c r="D164" s="1">
        <v>43796</v>
      </c>
      <c r="E164" s="1">
        <v>44161</v>
      </c>
      <c r="F164" t="s">
        <v>40</v>
      </c>
      <c r="G164">
        <v>10</v>
      </c>
      <c r="H164" t="s">
        <v>41</v>
      </c>
      <c r="I164" t="s">
        <v>22</v>
      </c>
      <c r="J164" t="s">
        <v>42</v>
      </c>
      <c r="K164" t="s">
        <v>23</v>
      </c>
      <c r="L164">
        <v>12491.85</v>
      </c>
      <c r="M164" s="1">
        <v>43796</v>
      </c>
      <c r="N164" t="s">
        <v>24</v>
      </c>
      <c r="O164" t="s">
        <v>23</v>
      </c>
      <c r="Q164" s="1">
        <v>43852</v>
      </c>
    </row>
    <row r="165" spans="1:17" x14ac:dyDescent="0.5">
      <c r="A165" t="s">
        <v>132</v>
      </c>
      <c r="B165" t="s">
        <v>245</v>
      </c>
      <c r="C165" t="s">
        <v>31</v>
      </c>
      <c r="D165" s="1">
        <v>43431</v>
      </c>
      <c r="E165" s="1">
        <v>43795</v>
      </c>
      <c r="F165" t="s">
        <v>40</v>
      </c>
      <c r="G165">
        <v>10</v>
      </c>
      <c r="H165" t="s">
        <v>41</v>
      </c>
      <c r="I165" t="s">
        <v>22</v>
      </c>
      <c r="J165" t="s">
        <v>42</v>
      </c>
      <c r="K165" t="s">
        <v>23</v>
      </c>
      <c r="L165">
        <v>30620.9</v>
      </c>
      <c r="M165" s="1">
        <v>43431</v>
      </c>
      <c r="N165" t="s">
        <v>24</v>
      </c>
      <c r="O165" t="s">
        <v>25</v>
      </c>
      <c r="Q165" s="1">
        <v>43852</v>
      </c>
    </row>
    <row r="166" spans="1:17" x14ac:dyDescent="0.5">
      <c r="A166" t="s">
        <v>135</v>
      </c>
      <c r="B166" t="s">
        <v>246</v>
      </c>
      <c r="C166" t="s">
        <v>19</v>
      </c>
      <c r="D166" s="1">
        <v>43796</v>
      </c>
      <c r="E166" s="1">
        <v>44161</v>
      </c>
      <c r="F166" t="s">
        <v>40</v>
      </c>
      <c r="G166">
        <v>10</v>
      </c>
      <c r="H166" t="s">
        <v>41</v>
      </c>
      <c r="I166" t="s">
        <v>22</v>
      </c>
      <c r="J166" t="s">
        <v>42</v>
      </c>
      <c r="K166" t="s">
        <v>23</v>
      </c>
      <c r="L166">
        <v>61342.1</v>
      </c>
      <c r="M166" s="1">
        <v>43796</v>
      </c>
      <c r="N166" t="s">
        <v>24</v>
      </c>
      <c r="O166" t="s">
        <v>23</v>
      </c>
      <c r="Q166" s="1">
        <v>43852</v>
      </c>
    </row>
    <row r="167" spans="1:17" x14ac:dyDescent="0.5">
      <c r="A167" t="s">
        <v>136</v>
      </c>
      <c r="B167" t="s">
        <v>247</v>
      </c>
      <c r="C167" t="s">
        <v>19</v>
      </c>
      <c r="D167" s="1">
        <v>43203</v>
      </c>
      <c r="E167" s="1">
        <v>43567</v>
      </c>
      <c r="F167" t="s">
        <v>36</v>
      </c>
      <c r="G167">
        <v>3</v>
      </c>
      <c r="H167" t="s">
        <v>64</v>
      </c>
      <c r="I167" t="s">
        <v>22</v>
      </c>
      <c r="J167" t="s">
        <v>65</v>
      </c>
      <c r="K167" t="s">
        <v>23</v>
      </c>
      <c r="L167">
        <v>3125</v>
      </c>
      <c r="M167" s="1">
        <v>43203</v>
      </c>
      <c r="N167" t="s">
        <v>24</v>
      </c>
      <c r="O167" t="s">
        <v>25</v>
      </c>
      <c r="Q167" s="1">
        <v>43852</v>
      </c>
    </row>
    <row r="168" spans="1:17" x14ac:dyDescent="0.5">
      <c r="A168" t="s">
        <v>139</v>
      </c>
      <c r="B168" t="s">
        <v>248</v>
      </c>
      <c r="C168" t="s">
        <v>19</v>
      </c>
      <c r="D168" s="1">
        <v>43035</v>
      </c>
      <c r="E168" s="1">
        <v>43399</v>
      </c>
      <c r="F168" t="s">
        <v>20</v>
      </c>
      <c r="G168">
        <v>3</v>
      </c>
      <c r="H168" t="s">
        <v>64</v>
      </c>
      <c r="I168" t="s">
        <v>22</v>
      </c>
      <c r="J168" t="s">
        <v>65</v>
      </c>
      <c r="K168" t="s">
        <v>23</v>
      </c>
      <c r="L168">
        <v>62714.03</v>
      </c>
      <c r="M168" s="1">
        <v>43035</v>
      </c>
      <c r="N168" t="s">
        <v>24</v>
      </c>
      <c r="O168" t="s">
        <v>25</v>
      </c>
      <c r="Q168" s="1">
        <v>43852</v>
      </c>
    </row>
    <row r="169" spans="1:17" x14ac:dyDescent="0.5">
      <c r="A169" t="s">
        <v>141</v>
      </c>
      <c r="B169" t="s">
        <v>249</v>
      </c>
      <c r="C169" t="s">
        <v>31</v>
      </c>
      <c r="D169" s="1">
        <v>43400</v>
      </c>
      <c r="E169" s="1">
        <v>43764</v>
      </c>
      <c r="F169" t="s">
        <v>20</v>
      </c>
      <c r="G169">
        <v>3</v>
      </c>
      <c r="H169" t="s">
        <v>64</v>
      </c>
      <c r="I169" t="s">
        <v>22</v>
      </c>
      <c r="J169" t="s">
        <v>65</v>
      </c>
      <c r="K169" t="s">
        <v>23</v>
      </c>
      <c r="L169">
        <v>85800</v>
      </c>
      <c r="M169" s="1">
        <v>43400</v>
      </c>
      <c r="N169" t="s">
        <v>24</v>
      </c>
      <c r="O169" t="s">
        <v>45</v>
      </c>
      <c r="Q169" s="1">
        <v>43852</v>
      </c>
    </row>
    <row r="170" spans="1:17" x14ac:dyDescent="0.5">
      <c r="A170" t="s">
        <v>143</v>
      </c>
      <c r="B170" t="s">
        <v>249</v>
      </c>
      <c r="C170" t="s">
        <v>31</v>
      </c>
      <c r="D170" s="1">
        <v>43400</v>
      </c>
      <c r="E170" s="1">
        <v>43764</v>
      </c>
      <c r="F170" t="s">
        <v>20</v>
      </c>
      <c r="G170">
        <v>3</v>
      </c>
      <c r="H170" t="s">
        <v>64</v>
      </c>
      <c r="I170" t="s">
        <v>22</v>
      </c>
      <c r="J170" t="s">
        <v>65</v>
      </c>
      <c r="K170" t="s">
        <v>23</v>
      </c>
      <c r="L170">
        <v>21450</v>
      </c>
      <c r="M170" s="1">
        <v>43400</v>
      </c>
      <c r="N170" t="s">
        <v>24</v>
      </c>
      <c r="O170" t="s">
        <v>45</v>
      </c>
      <c r="Q170" s="1">
        <v>43852</v>
      </c>
    </row>
    <row r="171" spans="1:17" x14ac:dyDescent="0.5">
      <c r="A171" t="s">
        <v>145</v>
      </c>
      <c r="B171" t="s">
        <v>249</v>
      </c>
      <c r="C171" t="s">
        <v>31</v>
      </c>
      <c r="D171" s="1">
        <v>43400</v>
      </c>
      <c r="E171" s="1">
        <v>43764</v>
      </c>
      <c r="F171" t="s">
        <v>20</v>
      </c>
      <c r="G171">
        <v>3</v>
      </c>
      <c r="H171" t="s">
        <v>64</v>
      </c>
      <c r="I171" t="s">
        <v>22</v>
      </c>
      <c r="J171" t="s">
        <v>65</v>
      </c>
      <c r="K171" t="s">
        <v>23</v>
      </c>
      <c r="L171">
        <v>71765.36</v>
      </c>
      <c r="M171" s="1">
        <v>43764</v>
      </c>
      <c r="N171" t="s">
        <v>47</v>
      </c>
      <c r="O171" t="s">
        <v>45</v>
      </c>
      <c r="Q171" s="1">
        <v>43852</v>
      </c>
    </row>
    <row r="172" spans="1:17" x14ac:dyDescent="0.5">
      <c r="A172" t="s">
        <v>147</v>
      </c>
      <c r="B172" t="s">
        <v>249</v>
      </c>
      <c r="C172" t="s">
        <v>31</v>
      </c>
      <c r="D172" s="1">
        <v>43400</v>
      </c>
      <c r="E172" s="1">
        <v>43764</v>
      </c>
      <c r="F172" t="s">
        <v>20</v>
      </c>
      <c r="G172">
        <v>3</v>
      </c>
      <c r="H172" t="s">
        <v>64</v>
      </c>
      <c r="I172" t="s">
        <v>22</v>
      </c>
      <c r="J172" t="s">
        <v>65</v>
      </c>
      <c r="K172" t="s">
        <v>23</v>
      </c>
      <c r="L172">
        <v>17941.34</v>
      </c>
      <c r="M172" s="1">
        <v>43764</v>
      </c>
      <c r="N172" t="s">
        <v>47</v>
      </c>
      <c r="O172" t="s">
        <v>45</v>
      </c>
      <c r="Q172" s="1">
        <v>43852</v>
      </c>
    </row>
    <row r="173" spans="1:17" x14ac:dyDescent="0.5">
      <c r="A173" t="s">
        <v>149</v>
      </c>
      <c r="B173" t="s">
        <v>250</v>
      </c>
      <c r="C173" t="s">
        <v>19</v>
      </c>
      <c r="D173" s="1">
        <v>43518</v>
      </c>
      <c r="E173" s="1">
        <v>43882</v>
      </c>
      <c r="F173" t="s">
        <v>40</v>
      </c>
      <c r="G173">
        <v>6</v>
      </c>
      <c r="H173" t="s">
        <v>104</v>
      </c>
      <c r="I173" t="s">
        <v>22</v>
      </c>
      <c r="J173" t="s">
        <v>42</v>
      </c>
      <c r="K173" t="s">
        <v>28</v>
      </c>
      <c r="L173">
        <v>44999.85</v>
      </c>
      <c r="M173" s="1">
        <v>43882</v>
      </c>
      <c r="N173" t="s">
        <v>24</v>
      </c>
      <c r="O173" t="s">
        <v>25</v>
      </c>
      <c r="Q173" s="1">
        <v>43852</v>
      </c>
    </row>
    <row r="174" spans="1:17" x14ac:dyDescent="0.5">
      <c r="A174" t="s">
        <v>151</v>
      </c>
      <c r="B174">
        <v>2309004639</v>
      </c>
      <c r="C174" t="s">
        <v>19</v>
      </c>
      <c r="D174" s="1">
        <v>43738</v>
      </c>
      <c r="E174" s="1">
        <v>45929</v>
      </c>
      <c r="F174" t="s">
        <v>37</v>
      </c>
      <c r="G174">
        <v>13</v>
      </c>
      <c r="H174" t="s">
        <v>212</v>
      </c>
      <c r="I174" t="s">
        <v>22</v>
      </c>
      <c r="J174" t="s">
        <v>37</v>
      </c>
      <c r="K174" t="s">
        <v>66</v>
      </c>
      <c r="L174">
        <v>47500</v>
      </c>
      <c r="M174" s="1">
        <v>43738</v>
      </c>
      <c r="N174" t="s">
        <v>24</v>
      </c>
      <c r="O174" t="s">
        <v>25</v>
      </c>
      <c r="Q174" s="1">
        <v>43852</v>
      </c>
    </row>
    <row r="175" spans="1:17" x14ac:dyDescent="0.5">
      <c r="A175" t="s">
        <v>153</v>
      </c>
      <c r="B175">
        <v>43170512</v>
      </c>
      <c r="C175" t="s">
        <v>31</v>
      </c>
      <c r="D175" s="1">
        <v>43502</v>
      </c>
      <c r="E175" s="1">
        <v>43683</v>
      </c>
      <c r="F175" t="s">
        <v>36</v>
      </c>
      <c r="G175">
        <v>13</v>
      </c>
      <c r="H175" t="s">
        <v>212</v>
      </c>
      <c r="I175" t="s">
        <v>22</v>
      </c>
      <c r="J175" t="s">
        <v>37</v>
      </c>
      <c r="K175" t="s">
        <v>66</v>
      </c>
      <c r="L175">
        <v>6183.87</v>
      </c>
      <c r="M175" s="1">
        <v>43502</v>
      </c>
      <c r="N175" t="s">
        <v>24</v>
      </c>
      <c r="O175" t="s">
        <v>25</v>
      </c>
      <c r="Q175" s="1">
        <v>43852</v>
      </c>
    </row>
    <row r="176" spans="1:17" x14ac:dyDescent="0.5">
      <c r="A176" t="s">
        <v>155</v>
      </c>
      <c r="B176">
        <v>43193940</v>
      </c>
      <c r="C176" t="s">
        <v>19</v>
      </c>
      <c r="D176" s="1">
        <v>43684</v>
      </c>
      <c r="E176" s="1">
        <v>43867</v>
      </c>
      <c r="F176" t="s">
        <v>36</v>
      </c>
      <c r="G176">
        <v>13</v>
      </c>
      <c r="H176" t="s">
        <v>212</v>
      </c>
      <c r="I176" t="s">
        <v>22</v>
      </c>
      <c r="J176" t="s">
        <v>37</v>
      </c>
      <c r="K176" t="s">
        <v>66</v>
      </c>
      <c r="L176">
        <v>6183.87</v>
      </c>
      <c r="M176" s="1">
        <v>43684</v>
      </c>
      <c r="N176" t="s">
        <v>24</v>
      </c>
      <c r="O176" t="s">
        <v>23</v>
      </c>
      <c r="Q176" s="1">
        <v>43852</v>
      </c>
    </row>
    <row r="177" spans="1:17" x14ac:dyDescent="0.5">
      <c r="A177" t="s">
        <v>157</v>
      </c>
      <c r="B177" t="s">
        <v>251</v>
      </c>
      <c r="C177" t="s">
        <v>19</v>
      </c>
      <c r="D177" s="1">
        <v>43777</v>
      </c>
      <c r="E177" s="1">
        <v>44142</v>
      </c>
      <c r="F177" t="s">
        <v>37</v>
      </c>
      <c r="G177">
        <v>2</v>
      </c>
      <c r="H177" t="s">
        <v>27</v>
      </c>
      <c r="I177" t="s">
        <v>22</v>
      </c>
      <c r="J177" t="s">
        <v>37</v>
      </c>
      <c r="K177" t="s">
        <v>28</v>
      </c>
      <c r="L177">
        <v>13200</v>
      </c>
      <c r="M177" s="1">
        <v>43777</v>
      </c>
      <c r="N177" t="s">
        <v>24</v>
      </c>
      <c r="O177" t="s">
        <v>25</v>
      </c>
      <c r="Q177" s="1">
        <v>43852</v>
      </c>
    </row>
    <row r="178" spans="1:17" x14ac:dyDescent="0.5">
      <c r="A178" t="s">
        <v>159</v>
      </c>
      <c r="B178">
        <v>2.3060011180300001E+19</v>
      </c>
      <c r="C178" t="s">
        <v>19</v>
      </c>
      <c r="D178" s="1">
        <v>43518</v>
      </c>
      <c r="E178" s="1">
        <v>43882</v>
      </c>
      <c r="F178" t="s">
        <v>32</v>
      </c>
      <c r="G178">
        <v>2</v>
      </c>
      <c r="H178" t="s">
        <v>27</v>
      </c>
      <c r="I178" t="s">
        <v>22</v>
      </c>
      <c r="J178" t="s">
        <v>61</v>
      </c>
      <c r="K178" t="s">
        <v>28</v>
      </c>
      <c r="L178">
        <v>16258</v>
      </c>
      <c r="M178" s="1">
        <v>43518</v>
      </c>
      <c r="N178" t="s">
        <v>24</v>
      </c>
      <c r="O178" t="s">
        <v>25</v>
      </c>
      <c r="Q178" s="1">
        <v>43852</v>
      </c>
    </row>
    <row r="179" spans="1:17" x14ac:dyDescent="0.5">
      <c r="A179" t="s">
        <v>161</v>
      </c>
      <c r="B179">
        <v>2.3060011180300001E+19</v>
      </c>
      <c r="C179" t="s">
        <v>19</v>
      </c>
      <c r="D179" s="1">
        <v>43524</v>
      </c>
      <c r="E179" s="1">
        <v>43888</v>
      </c>
      <c r="F179" t="s">
        <v>32</v>
      </c>
      <c r="G179">
        <v>2</v>
      </c>
      <c r="H179" t="s">
        <v>27</v>
      </c>
      <c r="I179" t="s">
        <v>22</v>
      </c>
      <c r="J179" t="s">
        <v>61</v>
      </c>
      <c r="K179" t="s">
        <v>28</v>
      </c>
      <c r="L179">
        <v>8227.7900000000009</v>
      </c>
      <c r="M179" s="1">
        <v>43524</v>
      </c>
      <c r="N179" t="s">
        <v>24</v>
      </c>
      <c r="O179" t="s">
        <v>45</v>
      </c>
      <c r="Q179" s="1">
        <v>43852</v>
      </c>
    </row>
    <row r="180" spans="1:17" x14ac:dyDescent="0.5">
      <c r="A180" t="s">
        <v>163</v>
      </c>
      <c r="B180">
        <v>2.3060011180300001E+19</v>
      </c>
      <c r="C180" t="s">
        <v>19</v>
      </c>
      <c r="D180" s="1">
        <v>43524</v>
      </c>
      <c r="E180" s="1">
        <v>43888</v>
      </c>
      <c r="F180" t="s">
        <v>32</v>
      </c>
      <c r="G180">
        <v>2</v>
      </c>
      <c r="H180" t="s">
        <v>27</v>
      </c>
      <c r="I180" t="s">
        <v>22</v>
      </c>
      <c r="J180" t="s">
        <v>61</v>
      </c>
      <c r="K180" t="s">
        <v>28</v>
      </c>
      <c r="L180">
        <v>2925.72</v>
      </c>
      <c r="M180" s="1">
        <v>43628</v>
      </c>
      <c r="N180" t="s">
        <v>47</v>
      </c>
      <c r="O180" t="s">
        <v>45</v>
      </c>
      <c r="Q180" s="1">
        <v>43852</v>
      </c>
    </row>
    <row r="181" spans="1:17" x14ac:dyDescent="0.5">
      <c r="A181" t="s">
        <v>165</v>
      </c>
      <c r="B181">
        <v>2.3060011180300001E+19</v>
      </c>
      <c r="C181" t="s">
        <v>19</v>
      </c>
      <c r="D181" s="1">
        <v>43524</v>
      </c>
      <c r="E181" s="1">
        <v>43888</v>
      </c>
      <c r="F181" t="s">
        <v>32</v>
      </c>
      <c r="G181">
        <v>2</v>
      </c>
      <c r="H181" t="s">
        <v>27</v>
      </c>
      <c r="I181" t="s">
        <v>22</v>
      </c>
      <c r="J181" t="s">
        <v>61</v>
      </c>
      <c r="K181" t="s">
        <v>28</v>
      </c>
      <c r="L181">
        <v>2925.72</v>
      </c>
      <c r="M181" s="1">
        <v>43628</v>
      </c>
      <c r="N181" t="s">
        <v>47</v>
      </c>
      <c r="O181" t="s">
        <v>45</v>
      </c>
      <c r="Q181" s="1">
        <v>43852</v>
      </c>
    </row>
    <row r="182" spans="1:17" x14ac:dyDescent="0.5">
      <c r="A182" t="s">
        <v>167</v>
      </c>
      <c r="B182">
        <v>2.3060011180300001E+19</v>
      </c>
      <c r="C182" t="s">
        <v>19</v>
      </c>
      <c r="D182" s="1">
        <v>43524</v>
      </c>
      <c r="E182" s="1">
        <v>43888</v>
      </c>
      <c r="F182" t="s">
        <v>32</v>
      </c>
      <c r="G182">
        <v>2</v>
      </c>
      <c r="H182" t="s">
        <v>27</v>
      </c>
      <c r="I182" t="s">
        <v>22</v>
      </c>
      <c r="J182" t="s">
        <v>61</v>
      </c>
      <c r="K182" t="s">
        <v>28</v>
      </c>
      <c r="L182">
        <v>5240.78</v>
      </c>
      <c r="M182" s="1">
        <v>43658</v>
      </c>
      <c r="N182" t="s">
        <v>47</v>
      </c>
      <c r="O182" t="s">
        <v>45</v>
      </c>
      <c r="Q182" s="1">
        <v>43852</v>
      </c>
    </row>
    <row r="183" spans="1:17" x14ac:dyDescent="0.5">
      <c r="A183" t="s">
        <v>169</v>
      </c>
      <c r="B183">
        <v>3.1030011191E+17</v>
      </c>
      <c r="C183" t="s">
        <v>19</v>
      </c>
      <c r="D183" s="1">
        <v>43777</v>
      </c>
      <c r="E183" s="1">
        <v>44142</v>
      </c>
      <c r="F183" t="s">
        <v>32</v>
      </c>
      <c r="G183">
        <v>2</v>
      </c>
      <c r="H183" t="s">
        <v>27</v>
      </c>
      <c r="I183" t="s">
        <v>22</v>
      </c>
      <c r="J183" t="s">
        <v>61</v>
      </c>
      <c r="K183" t="s">
        <v>28</v>
      </c>
      <c r="L183">
        <v>17232.75</v>
      </c>
      <c r="M183" s="1">
        <v>43777</v>
      </c>
      <c r="N183" t="s">
        <v>24</v>
      </c>
      <c r="O183" t="s">
        <v>25</v>
      </c>
      <c r="Q183" s="1">
        <v>43852</v>
      </c>
    </row>
    <row r="184" spans="1:17" x14ac:dyDescent="0.5">
      <c r="A184" t="s">
        <v>171</v>
      </c>
      <c r="B184">
        <v>3.1030049191E+17</v>
      </c>
      <c r="C184" t="s">
        <v>19</v>
      </c>
      <c r="D184" s="1">
        <v>43777</v>
      </c>
      <c r="E184" s="1">
        <v>44142</v>
      </c>
      <c r="F184" t="s">
        <v>37</v>
      </c>
      <c r="G184">
        <v>2</v>
      </c>
      <c r="H184" t="s">
        <v>27</v>
      </c>
      <c r="I184" t="s">
        <v>22</v>
      </c>
      <c r="J184" t="s">
        <v>37</v>
      </c>
      <c r="K184" t="s">
        <v>28</v>
      </c>
      <c r="L184">
        <v>6250</v>
      </c>
      <c r="M184" s="1">
        <v>43777</v>
      </c>
      <c r="N184" t="s">
        <v>24</v>
      </c>
      <c r="O184" t="s">
        <v>25</v>
      </c>
      <c r="Q184" s="1">
        <v>43852</v>
      </c>
    </row>
    <row r="185" spans="1:17" x14ac:dyDescent="0.5">
      <c r="A185" t="s">
        <v>173</v>
      </c>
      <c r="B185">
        <v>9.90000111903E+19</v>
      </c>
      <c r="C185" t="s">
        <v>19</v>
      </c>
      <c r="D185" s="1">
        <v>43716</v>
      </c>
      <c r="E185" s="1">
        <v>44081</v>
      </c>
      <c r="F185" t="s">
        <v>32</v>
      </c>
      <c r="G185">
        <v>2</v>
      </c>
      <c r="H185" t="s">
        <v>27</v>
      </c>
      <c r="I185" t="s">
        <v>22</v>
      </c>
      <c r="J185" t="s">
        <v>61</v>
      </c>
      <c r="K185" t="s">
        <v>28</v>
      </c>
      <c r="L185">
        <v>72138.929999999993</v>
      </c>
      <c r="M185" s="1">
        <v>43716</v>
      </c>
      <c r="N185" t="s">
        <v>24</v>
      </c>
      <c r="O185" t="s">
        <v>25</v>
      </c>
      <c r="Q185" s="1">
        <v>43852</v>
      </c>
    </row>
    <row r="186" spans="1:17" x14ac:dyDescent="0.5">
      <c r="A186" t="s">
        <v>175</v>
      </c>
      <c r="B186">
        <v>9.90000111903E+19</v>
      </c>
      <c r="C186" t="s">
        <v>19</v>
      </c>
      <c r="D186" s="1">
        <v>43716</v>
      </c>
      <c r="E186" s="1">
        <v>44081</v>
      </c>
      <c r="F186" t="s">
        <v>32</v>
      </c>
      <c r="G186">
        <v>2</v>
      </c>
      <c r="H186" t="s">
        <v>27</v>
      </c>
      <c r="I186" t="s">
        <v>22</v>
      </c>
      <c r="J186" t="s">
        <v>61</v>
      </c>
      <c r="K186" t="s">
        <v>28</v>
      </c>
      <c r="L186">
        <v>43032.54</v>
      </c>
      <c r="M186" s="1">
        <v>43716</v>
      </c>
      <c r="N186" t="s">
        <v>24</v>
      </c>
      <c r="O186" t="s">
        <v>25</v>
      </c>
      <c r="Q186" s="1">
        <v>43852</v>
      </c>
    </row>
    <row r="187" spans="1:17" x14ac:dyDescent="0.5">
      <c r="A187" t="s">
        <v>177</v>
      </c>
      <c r="B187">
        <v>9.9000046190100005E+19</v>
      </c>
      <c r="C187" t="s">
        <v>19</v>
      </c>
      <c r="D187" s="1">
        <v>43716</v>
      </c>
      <c r="E187" s="1">
        <v>44081</v>
      </c>
      <c r="F187" t="s">
        <v>36</v>
      </c>
      <c r="G187">
        <v>2</v>
      </c>
      <c r="H187" t="s">
        <v>27</v>
      </c>
      <c r="I187" t="s">
        <v>22</v>
      </c>
      <c r="J187" t="s">
        <v>54</v>
      </c>
      <c r="K187" t="s">
        <v>28</v>
      </c>
      <c r="L187">
        <v>11550</v>
      </c>
      <c r="M187" s="1">
        <v>43716</v>
      </c>
      <c r="N187" t="s">
        <v>24</v>
      </c>
      <c r="O187" t="s">
        <v>25</v>
      </c>
      <c r="Q187" s="1">
        <v>43852</v>
      </c>
    </row>
    <row r="188" spans="1:17" x14ac:dyDescent="0.5">
      <c r="A188" t="s">
        <v>178</v>
      </c>
      <c r="B188">
        <v>9.9000046190100005E+19</v>
      </c>
      <c r="C188" t="s">
        <v>19</v>
      </c>
      <c r="D188" s="1">
        <v>43716</v>
      </c>
      <c r="E188" s="1">
        <v>44081</v>
      </c>
      <c r="F188" t="s">
        <v>36</v>
      </c>
      <c r="G188">
        <v>2</v>
      </c>
      <c r="H188" t="s">
        <v>27</v>
      </c>
      <c r="I188" t="s">
        <v>22</v>
      </c>
      <c r="J188" t="s">
        <v>54</v>
      </c>
      <c r="K188" t="s">
        <v>28</v>
      </c>
      <c r="L188">
        <v>7700</v>
      </c>
      <c r="M188" s="1">
        <v>43716</v>
      </c>
      <c r="N188" t="s">
        <v>24</v>
      </c>
      <c r="O188" t="s">
        <v>25</v>
      </c>
      <c r="Q188" s="1">
        <v>43852</v>
      </c>
    </row>
    <row r="189" spans="1:17" x14ac:dyDescent="0.5">
      <c r="A189" t="s">
        <v>179</v>
      </c>
      <c r="B189">
        <v>9.9000046190799995E+19</v>
      </c>
      <c r="C189" t="s">
        <v>19</v>
      </c>
      <c r="D189" s="1">
        <v>43716</v>
      </c>
      <c r="E189" s="1">
        <v>44081</v>
      </c>
      <c r="F189" t="s">
        <v>36</v>
      </c>
      <c r="G189">
        <v>2</v>
      </c>
      <c r="H189" t="s">
        <v>27</v>
      </c>
      <c r="I189" t="s">
        <v>22</v>
      </c>
      <c r="J189" t="s">
        <v>61</v>
      </c>
      <c r="K189" t="s">
        <v>28</v>
      </c>
      <c r="L189">
        <v>14461.25</v>
      </c>
      <c r="M189" s="1">
        <v>43716</v>
      </c>
      <c r="N189" t="s">
        <v>24</v>
      </c>
      <c r="O189" t="s">
        <v>45</v>
      </c>
      <c r="Q189" s="1">
        <v>43852</v>
      </c>
    </row>
    <row r="190" spans="1:17" x14ac:dyDescent="0.5">
      <c r="A190" t="s">
        <v>180</v>
      </c>
      <c r="B190">
        <v>9.9000046190799995E+19</v>
      </c>
      <c r="C190" t="s">
        <v>19</v>
      </c>
      <c r="D190" s="1">
        <v>43716</v>
      </c>
      <c r="E190" s="1">
        <v>44081</v>
      </c>
      <c r="F190" t="s">
        <v>36</v>
      </c>
      <c r="G190">
        <v>2</v>
      </c>
      <c r="H190" t="s">
        <v>27</v>
      </c>
      <c r="I190" t="s">
        <v>22</v>
      </c>
      <c r="J190" t="s">
        <v>61</v>
      </c>
      <c r="K190" t="s">
        <v>28</v>
      </c>
      <c r="L190">
        <v>13153.63</v>
      </c>
      <c r="M190" s="1">
        <v>43748</v>
      </c>
      <c r="N190" t="s">
        <v>47</v>
      </c>
      <c r="O190" t="s">
        <v>45</v>
      </c>
      <c r="Q190" s="1">
        <v>43852</v>
      </c>
    </row>
    <row r="191" spans="1:17" x14ac:dyDescent="0.5">
      <c r="A191" t="s">
        <v>181</v>
      </c>
      <c r="B191">
        <v>9.9000044180300005E+19</v>
      </c>
      <c r="C191" t="s">
        <v>31</v>
      </c>
      <c r="D191" s="1">
        <v>43194</v>
      </c>
      <c r="E191" s="1">
        <v>45478</v>
      </c>
      <c r="F191" t="s">
        <v>202</v>
      </c>
      <c r="G191">
        <v>13</v>
      </c>
      <c r="H191" t="s">
        <v>212</v>
      </c>
      <c r="I191" t="s">
        <v>22</v>
      </c>
      <c r="J191" t="s">
        <v>33</v>
      </c>
      <c r="K191" t="s">
        <v>28</v>
      </c>
      <c r="L191">
        <v>0</v>
      </c>
      <c r="M191" s="1">
        <v>43194</v>
      </c>
      <c r="N191" t="s">
        <v>24</v>
      </c>
      <c r="O191" t="s">
        <v>252</v>
      </c>
      <c r="P191" t="s">
        <v>253</v>
      </c>
      <c r="Q191" s="1">
        <v>43852</v>
      </c>
    </row>
    <row r="192" spans="1:17" x14ac:dyDescent="0.5">
      <c r="A192" t="s">
        <v>183</v>
      </c>
      <c r="B192">
        <v>9.9000044180300005E+19</v>
      </c>
      <c r="C192" t="s">
        <v>31</v>
      </c>
      <c r="D192" s="1">
        <v>43273</v>
      </c>
      <c r="E192" s="1">
        <v>43729</v>
      </c>
      <c r="F192" t="s">
        <v>202</v>
      </c>
      <c r="G192">
        <v>13</v>
      </c>
      <c r="H192" t="s">
        <v>212</v>
      </c>
      <c r="I192" t="s">
        <v>22</v>
      </c>
      <c r="J192" t="s">
        <v>33</v>
      </c>
      <c r="K192" t="s">
        <v>66</v>
      </c>
      <c r="L192">
        <v>15625</v>
      </c>
      <c r="M192" s="1">
        <v>43273</v>
      </c>
      <c r="N192" t="s">
        <v>24</v>
      </c>
      <c r="O192" t="s">
        <v>252</v>
      </c>
      <c r="P192" t="s">
        <v>254</v>
      </c>
      <c r="Q192" s="1">
        <v>43852</v>
      </c>
    </row>
    <row r="193" spans="1:17" x14ac:dyDescent="0.5">
      <c r="A193" t="s">
        <v>184</v>
      </c>
      <c r="B193">
        <v>9.9000044190299996E+19</v>
      </c>
      <c r="C193" t="s">
        <v>19</v>
      </c>
      <c r="D193" s="1">
        <v>43580</v>
      </c>
      <c r="E193" s="1">
        <v>44310</v>
      </c>
      <c r="F193" t="s">
        <v>202</v>
      </c>
      <c r="G193">
        <v>13</v>
      </c>
      <c r="H193" t="s">
        <v>212</v>
      </c>
      <c r="I193" t="s">
        <v>22</v>
      </c>
      <c r="J193" t="s">
        <v>33</v>
      </c>
      <c r="K193" t="s">
        <v>66</v>
      </c>
      <c r="L193">
        <v>134736.13</v>
      </c>
      <c r="M193" s="1">
        <v>43580</v>
      </c>
      <c r="N193" t="s">
        <v>24</v>
      </c>
      <c r="O193" t="s">
        <v>25</v>
      </c>
      <c r="Q193" s="1">
        <v>43852</v>
      </c>
    </row>
    <row r="194" spans="1:17" x14ac:dyDescent="0.5">
      <c r="A194" t="s">
        <v>185</v>
      </c>
      <c r="B194">
        <v>9.9000044190299996E+19</v>
      </c>
      <c r="C194" t="s">
        <v>19</v>
      </c>
      <c r="D194" s="1">
        <v>43719</v>
      </c>
      <c r="E194" s="1">
        <v>44084</v>
      </c>
      <c r="F194" t="s">
        <v>202</v>
      </c>
      <c r="G194">
        <v>13</v>
      </c>
      <c r="H194" t="s">
        <v>212</v>
      </c>
      <c r="I194" t="s">
        <v>22</v>
      </c>
      <c r="J194" t="s">
        <v>33</v>
      </c>
      <c r="K194" t="s">
        <v>66</v>
      </c>
      <c r="L194">
        <v>32584.880000000001</v>
      </c>
      <c r="M194" s="1">
        <v>43719</v>
      </c>
      <c r="N194" t="s">
        <v>24</v>
      </c>
      <c r="O194" t="s">
        <v>25</v>
      </c>
      <c r="Q194" s="1">
        <v>43852</v>
      </c>
    </row>
    <row r="195" spans="1:17" x14ac:dyDescent="0.5">
      <c r="A195" t="s">
        <v>186</v>
      </c>
      <c r="B195">
        <v>9.9000044190299996E+19</v>
      </c>
      <c r="C195" t="s">
        <v>19</v>
      </c>
      <c r="D195" s="1">
        <v>43730</v>
      </c>
      <c r="E195" s="1">
        <v>43911</v>
      </c>
      <c r="F195" t="s">
        <v>202</v>
      </c>
      <c r="G195">
        <v>13</v>
      </c>
      <c r="H195" t="s">
        <v>212</v>
      </c>
      <c r="I195" t="s">
        <v>22</v>
      </c>
      <c r="J195" t="s">
        <v>33</v>
      </c>
      <c r="K195" t="s">
        <v>66</v>
      </c>
      <c r="L195">
        <v>8044.5</v>
      </c>
      <c r="M195" s="1">
        <v>43730</v>
      </c>
      <c r="N195" t="s">
        <v>24</v>
      </c>
      <c r="O195" t="s">
        <v>25</v>
      </c>
      <c r="Q195" s="1">
        <v>43852</v>
      </c>
    </row>
    <row r="196" spans="1:17" x14ac:dyDescent="0.5">
      <c r="A196" t="s">
        <v>188</v>
      </c>
      <c r="B196" t="s">
        <v>255</v>
      </c>
      <c r="C196" t="s">
        <v>31</v>
      </c>
      <c r="D196" s="1">
        <v>43523</v>
      </c>
      <c r="E196" s="1">
        <v>43887</v>
      </c>
      <c r="F196" t="s">
        <v>32</v>
      </c>
      <c r="G196">
        <v>1</v>
      </c>
      <c r="H196" t="s">
        <v>21</v>
      </c>
      <c r="I196" t="s">
        <v>22</v>
      </c>
      <c r="J196" t="s">
        <v>54</v>
      </c>
      <c r="K196" t="s">
        <v>23</v>
      </c>
      <c r="L196">
        <v>2141.5500000000002</v>
      </c>
      <c r="M196" s="1">
        <v>43523</v>
      </c>
      <c r="N196" t="s">
        <v>24</v>
      </c>
      <c r="O196" t="s">
        <v>252</v>
      </c>
      <c r="P196" t="s">
        <v>253</v>
      </c>
      <c r="Q196" s="1">
        <v>43852</v>
      </c>
    </row>
    <row r="197" spans="1:17" x14ac:dyDescent="0.5">
      <c r="A197" t="s">
        <v>190</v>
      </c>
      <c r="B197" t="s">
        <v>256</v>
      </c>
      <c r="C197" t="s">
        <v>19</v>
      </c>
      <c r="D197" s="1">
        <v>43158</v>
      </c>
      <c r="E197" s="1">
        <v>43522</v>
      </c>
      <c r="F197" t="s">
        <v>32</v>
      </c>
      <c r="G197">
        <v>1</v>
      </c>
      <c r="H197" t="s">
        <v>21</v>
      </c>
      <c r="I197" t="s">
        <v>22</v>
      </c>
      <c r="J197" t="s">
        <v>54</v>
      </c>
      <c r="K197" t="s">
        <v>23</v>
      </c>
      <c r="L197">
        <v>2486.0700000000002</v>
      </c>
      <c r="M197" s="1">
        <v>43158</v>
      </c>
      <c r="N197" t="s">
        <v>24</v>
      </c>
      <c r="O197" t="s">
        <v>25</v>
      </c>
      <c r="Q197" s="1">
        <v>43852</v>
      </c>
    </row>
    <row r="198" spans="1:17" x14ac:dyDescent="0.5">
      <c r="A198" t="s">
        <v>192</v>
      </c>
      <c r="B198">
        <v>8539944</v>
      </c>
      <c r="C198" t="s">
        <v>31</v>
      </c>
      <c r="D198" s="1">
        <v>43158</v>
      </c>
      <c r="E198" s="1">
        <v>43522</v>
      </c>
      <c r="F198" t="s">
        <v>32</v>
      </c>
      <c r="G198">
        <v>1</v>
      </c>
      <c r="H198" t="s">
        <v>21</v>
      </c>
      <c r="I198" t="s">
        <v>22</v>
      </c>
      <c r="J198" t="s">
        <v>54</v>
      </c>
      <c r="K198" t="s">
        <v>23</v>
      </c>
      <c r="L198">
        <v>6653.1</v>
      </c>
      <c r="M198" s="1">
        <v>43158</v>
      </c>
      <c r="N198" t="s">
        <v>24</v>
      </c>
      <c r="O198" t="s">
        <v>25</v>
      </c>
      <c r="Q198" s="1">
        <v>43852</v>
      </c>
    </row>
    <row r="199" spans="1:17" x14ac:dyDescent="0.5">
      <c r="A199" t="s">
        <v>193</v>
      </c>
      <c r="B199" t="s">
        <v>257</v>
      </c>
      <c r="C199" t="s">
        <v>19</v>
      </c>
      <c r="D199" s="1">
        <v>43523</v>
      </c>
      <c r="E199" s="1">
        <v>43887</v>
      </c>
      <c r="F199" t="s">
        <v>32</v>
      </c>
      <c r="G199">
        <v>1</v>
      </c>
      <c r="H199" t="s">
        <v>21</v>
      </c>
      <c r="I199" t="s">
        <v>22</v>
      </c>
      <c r="J199" t="s">
        <v>54</v>
      </c>
      <c r="K199" t="s">
        <v>23</v>
      </c>
      <c r="L199">
        <v>6979.74</v>
      </c>
      <c r="M199" s="1">
        <v>43523</v>
      </c>
      <c r="N199" t="s">
        <v>24</v>
      </c>
      <c r="O199" t="s">
        <v>23</v>
      </c>
      <c r="Q199" s="1">
        <v>43852</v>
      </c>
    </row>
    <row r="200" spans="1:17" x14ac:dyDescent="0.5">
      <c r="A200" t="s">
        <v>194</v>
      </c>
      <c r="B200" t="s">
        <v>258</v>
      </c>
      <c r="C200" t="s">
        <v>19</v>
      </c>
      <c r="D200" s="1">
        <v>43158</v>
      </c>
      <c r="E200" s="1">
        <v>43522</v>
      </c>
      <c r="F200" t="s">
        <v>32</v>
      </c>
      <c r="G200">
        <v>1</v>
      </c>
      <c r="H200" t="s">
        <v>21</v>
      </c>
      <c r="I200" t="s">
        <v>22</v>
      </c>
      <c r="J200" t="s">
        <v>54</v>
      </c>
      <c r="K200" t="s">
        <v>66</v>
      </c>
      <c r="L200">
        <v>2283.33</v>
      </c>
      <c r="M200" s="1">
        <v>43158</v>
      </c>
      <c r="N200" t="s">
        <v>24</v>
      </c>
      <c r="O200" t="s">
        <v>25</v>
      </c>
      <c r="Q200" s="1">
        <v>43852</v>
      </c>
    </row>
    <row r="201" spans="1:17" x14ac:dyDescent="0.5">
      <c r="A201" t="s">
        <v>195</v>
      </c>
      <c r="B201">
        <v>41045915</v>
      </c>
      <c r="C201" t="s">
        <v>19</v>
      </c>
      <c r="D201" s="1">
        <v>43554</v>
      </c>
      <c r="E201" s="1">
        <v>43919</v>
      </c>
      <c r="F201" t="s">
        <v>37</v>
      </c>
      <c r="G201">
        <v>6</v>
      </c>
      <c r="H201" t="s">
        <v>104</v>
      </c>
      <c r="I201" t="s">
        <v>22</v>
      </c>
      <c r="J201" t="s">
        <v>37</v>
      </c>
      <c r="K201" t="s">
        <v>28</v>
      </c>
      <c r="L201">
        <v>14107.5</v>
      </c>
      <c r="M201" s="1">
        <v>43554</v>
      </c>
      <c r="N201" t="s">
        <v>24</v>
      </c>
      <c r="O201" t="s">
        <v>25</v>
      </c>
      <c r="Q201" s="1">
        <v>43852</v>
      </c>
    </row>
    <row r="202" spans="1:17" x14ac:dyDescent="0.5">
      <c r="A202" t="s">
        <v>196</v>
      </c>
      <c r="B202">
        <v>2690000174</v>
      </c>
      <c r="C202" t="s">
        <v>19</v>
      </c>
      <c r="D202" s="1">
        <v>43100</v>
      </c>
      <c r="E202" s="1">
        <v>43464</v>
      </c>
      <c r="F202" t="s">
        <v>36</v>
      </c>
      <c r="G202">
        <v>1</v>
      </c>
      <c r="H202" t="s">
        <v>21</v>
      </c>
      <c r="I202" t="s">
        <v>22</v>
      </c>
      <c r="J202" t="s">
        <v>54</v>
      </c>
      <c r="K202" t="s">
        <v>23</v>
      </c>
      <c r="L202">
        <v>2535.87</v>
      </c>
      <c r="M202" s="1">
        <v>43100</v>
      </c>
      <c r="N202" t="s">
        <v>24</v>
      </c>
      <c r="O202" t="s">
        <v>25</v>
      </c>
      <c r="Q202" s="1">
        <v>43852</v>
      </c>
    </row>
    <row r="203" spans="1:17" x14ac:dyDescent="0.5">
      <c r="A203" t="s">
        <v>198</v>
      </c>
      <c r="B203">
        <v>300004329</v>
      </c>
      <c r="C203" t="s">
        <v>31</v>
      </c>
      <c r="D203" s="1">
        <v>43131</v>
      </c>
      <c r="E203" s="1">
        <v>43495</v>
      </c>
      <c r="F203" t="s">
        <v>37</v>
      </c>
      <c r="G203">
        <v>1</v>
      </c>
      <c r="H203" t="s">
        <v>21</v>
      </c>
      <c r="I203" t="s">
        <v>22</v>
      </c>
      <c r="J203" t="s">
        <v>37</v>
      </c>
      <c r="K203" t="s">
        <v>23</v>
      </c>
      <c r="L203">
        <v>125000</v>
      </c>
      <c r="M203" s="1">
        <v>43131</v>
      </c>
      <c r="N203" t="s">
        <v>24</v>
      </c>
      <c r="O203" t="s">
        <v>25</v>
      </c>
      <c r="Q203" s="1">
        <v>43852</v>
      </c>
    </row>
    <row r="204" spans="1:17" x14ac:dyDescent="0.5">
      <c r="A204" t="s">
        <v>200</v>
      </c>
      <c r="B204" t="s">
        <v>259</v>
      </c>
      <c r="C204" t="s">
        <v>19</v>
      </c>
      <c r="D204" s="1">
        <v>43496</v>
      </c>
      <c r="E204" s="1">
        <v>43860</v>
      </c>
      <c r="F204" t="s">
        <v>37</v>
      </c>
      <c r="G204">
        <v>1</v>
      </c>
      <c r="H204" t="s">
        <v>21</v>
      </c>
      <c r="I204" t="s">
        <v>22</v>
      </c>
      <c r="J204" t="s">
        <v>37</v>
      </c>
      <c r="K204" t="s">
        <v>23</v>
      </c>
      <c r="L204">
        <v>125000</v>
      </c>
      <c r="M204" s="1">
        <v>43496</v>
      </c>
      <c r="N204" t="s">
        <v>24</v>
      </c>
      <c r="O204" t="s">
        <v>23</v>
      </c>
      <c r="Q204" s="1">
        <v>43852</v>
      </c>
    </row>
    <row r="205" spans="1:17" x14ac:dyDescent="0.5">
      <c r="A205" t="s">
        <v>203</v>
      </c>
      <c r="B205">
        <v>304001755</v>
      </c>
      <c r="C205" t="s">
        <v>31</v>
      </c>
      <c r="D205" s="1">
        <v>43131</v>
      </c>
      <c r="E205" s="1">
        <v>43495</v>
      </c>
      <c r="F205" t="s">
        <v>37</v>
      </c>
      <c r="G205">
        <v>1</v>
      </c>
      <c r="H205" t="s">
        <v>21</v>
      </c>
      <c r="I205" t="s">
        <v>22</v>
      </c>
      <c r="J205" t="s">
        <v>37</v>
      </c>
      <c r="K205" t="s">
        <v>23</v>
      </c>
      <c r="L205">
        <v>80000</v>
      </c>
      <c r="M205" s="1">
        <v>43131</v>
      </c>
      <c r="N205" t="s">
        <v>24</v>
      </c>
      <c r="O205" t="s">
        <v>25</v>
      </c>
      <c r="Q205" s="1">
        <v>43852</v>
      </c>
    </row>
    <row r="206" spans="1:17" x14ac:dyDescent="0.5">
      <c r="A206" t="s">
        <v>204</v>
      </c>
      <c r="B206">
        <v>304001755</v>
      </c>
      <c r="C206" t="s">
        <v>31</v>
      </c>
      <c r="D206" s="1">
        <v>43131</v>
      </c>
      <c r="E206" s="1">
        <v>43495</v>
      </c>
      <c r="F206" t="s">
        <v>37</v>
      </c>
      <c r="G206">
        <v>1</v>
      </c>
      <c r="H206" t="s">
        <v>21</v>
      </c>
      <c r="I206" t="s">
        <v>22</v>
      </c>
      <c r="J206" t="s">
        <v>37</v>
      </c>
      <c r="K206" t="s">
        <v>23</v>
      </c>
      <c r="L206">
        <v>320000</v>
      </c>
      <c r="M206" s="1">
        <v>43131</v>
      </c>
      <c r="N206" t="s">
        <v>24</v>
      </c>
      <c r="O206" t="s">
        <v>25</v>
      </c>
      <c r="Q206" s="1">
        <v>43852</v>
      </c>
    </row>
    <row r="207" spans="1:17" x14ac:dyDescent="0.5">
      <c r="A207" t="s">
        <v>205</v>
      </c>
      <c r="B207" t="s">
        <v>260</v>
      </c>
      <c r="C207" t="s">
        <v>19</v>
      </c>
      <c r="D207" s="1">
        <v>43496</v>
      </c>
      <c r="E207" s="1">
        <v>43860</v>
      </c>
      <c r="F207" t="s">
        <v>37</v>
      </c>
      <c r="G207">
        <v>1</v>
      </c>
      <c r="H207" t="s">
        <v>21</v>
      </c>
      <c r="I207" t="s">
        <v>22</v>
      </c>
      <c r="J207" t="s">
        <v>37</v>
      </c>
      <c r="K207" t="s">
        <v>23</v>
      </c>
      <c r="L207">
        <v>320000</v>
      </c>
      <c r="M207" s="1">
        <v>43496</v>
      </c>
      <c r="N207" t="s">
        <v>24</v>
      </c>
      <c r="O207" t="s">
        <v>23</v>
      </c>
      <c r="Q207" s="1">
        <v>43852</v>
      </c>
    </row>
    <row r="208" spans="1:17" x14ac:dyDescent="0.5">
      <c r="A208" t="s">
        <v>206</v>
      </c>
      <c r="B208">
        <v>640001622</v>
      </c>
      <c r="C208" t="s">
        <v>31</v>
      </c>
      <c r="D208" s="1">
        <v>43100</v>
      </c>
      <c r="E208" s="1">
        <v>43464</v>
      </c>
      <c r="F208" t="s">
        <v>36</v>
      </c>
      <c r="G208">
        <v>1</v>
      </c>
      <c r="H208" t="s">
        <v>21</v>
      </c>
      <c r="I208" t="s">
        <v>22</v>
      </c>
      <c r="J208" t="s">
        <v>54</v>
      </c>
      <c r="K208" t="s">
        <v>23</v>
      </c>
      <c r="L208">
        <v>211206.7</v>
      </c>
      <c r="M208" s="1">
        <v>43100</v>
      </c>
      <c r="N208" t="s">
        <v>24</v>
      </c>
      <c r="O208" t="s">
        <v>252</v>
      </c>
      <c r="P208" t="s">
        <v>253</v>
      </c>
      <c r="Q208" s="1">
        <v>43852</v>
      </c>
    </row>
    <row r="209" spans="1:17" x14ac:dyDescent="0.5">
      <c r="A209" t="s">
        <v>207</v>
      </c>
      <c r="B209">
        <v>655001664</v>
      </c>
      <c r="C209" t="s">
        <v>31</v>
      </c>
      <c r="D209" s="1">
        <v>43160</v>
      </c>
      <c r="E209" s="1">
        <v>43524</v>
      </c>
      <c r="F209" t="s">
        <v>32</v>
      </c>
      <c r="G209">
        <v>1</v>
      </c>
      <c r="H209" t="s">
        <v>21</v>
      </c>
      <c r="I209" t="s">
        <v>22</v>
      </c>
      <c r="J209" t="s">
        <v>54</v>
      </c>
      <c r="K209" t="s">
        <v>23</v>
      </c>
      <c r="L209">
        <v>275569.44</v>
      </c>
      <c r="M209" s="1">
        <v>43525</v>
      </c>
      <c r="N209" t="s">
        <v>24</v>
      </c>
      <c r="O209" t="s">
        <v>25</v>
      </c>
      <c r="Q209" s="1">
        <v>43852</v>
      </c>
    </row>
    <row r="210" spans="1:17" x14ac:dyDescent="0.5">
      <c r="A210" t="s">
        <v>208</v>
      </c>
      <c r="B210" t="s">
        <v>261</v>
      </c>
      <c r="C210" t="s">
        <v>19</v>
      </c>
      <c r="D210" s="1">
        <v>43525</v>
      </c>
      <c r="E210" s="1">
        <v>43890</v>
      </c>
      <c r="F210" t="s">
        <v>32</v>
      </c>
      <c r="G210">
        <v>1</v>
      </c>
      <c r="H210" t="s">
        <v>21</v>
      </c>
      <c r="I210" t="s">
        <v>22</v>
      </c>
      <c r="J210" t="s">
        <v>54</v>
      </c>
      <c r="K210" t="s">
        <v>23</v>
      </c>
      <c r="L210">
        <v>275569.44</v>
      </c>
      <c r="M210" s="1">
        <v>43525</v>
      </c>
      <c r="N210" t="s">
        <v>24</v>
      </c>
      <c r="O210" t="s">
        <v>23</v>
      </c>
      <c r="Q210" s="1">
        <v>43852</v>
      </c>
    </row>
    <row r="211" spans="1:17" x14ac:dyDescent="0.5">
      <c r="A211" t="s">
        <v>262</v>
      </c>
      <c r="B211" t="s">
        <v>263</v>
      </c>
      <c r="C211" t="s">
        <v>19</v>
      </c>
      <c r="D211" s="1">
        <v>43525</v>
      </c>
      <c r="E211" s="1">
        <v>43890</v>
      </c>
      <c r="F211" t="s">
        <v>20</v>
      </c>
      <c r="G211">
        <v>1</v>
      </c>
      <c r="H211" t="s">
        <v>21</v>
      </c>
      <c r="I211" t="s">
        <v>22</v>
      </c>
      <c r="J211" t="s">
        <v>20</v>
      </c>
      <c r="K211" t="s">
        <v>23</v>
      </c>
      <c r="L211">
        <v>50332.73</v>
      </c>
      <c r="M211" s="1">
        <v>43525</v>
      </c>
      <c r="N211" t="s">
        <v>24</v>
      </c>
      <c r="O211" t="s">
        <v>23</v>
      </c>
      <c r="Q211" s="1">
        <v>43852</v>
      </c>
    </row>
    <row r="212" spans="1:17" x14ac:dyDescent="0.5">
      <c r="A212" t="s">
        <v>262</v>
      </c>
      <c r="B212" t="s">
        <v>264</v>
      </c>
      <c r="C212" t="s">
        <v>31</v>
      </c>
      <c r="D212" s="1">
        <v>43160</v>
      </c>
      <c r="E212" s="1">
        <v>43524</v>
      </c>
      <c r="F212" t="s">
        <v>20</v>
      </c>
      <c r="G212">
        <v>1</v>
      </c>
      <c r="H212" t="s">
        <v>21</v>
      </c>
      <c r="I212" t="s">
        <v>22</v>
      </c>
      <c r="J212" t="s">
        <v>20</v>
      </c>
      <c r="K212" t="s">
        <v>23</v>
      </c>
      <c r="L212">
        <v>57539.3</v>
      </c>
      <c r="M212" s="1">
        <v>43160</v>
      </c>
      <c r="N212" t="s">
        <v>24</v>
      </c>
      <c r="O212" t="s">
        <v>25</v>
      </c>
      <c r="Q212" s="1">
        <v>43852</v>
      </c>
    </row>
    <row r="213" spans="1:17" x14ac:dyDescent="0.5">
      <c r="A213" t="s">
        <v>262</v>
      </c>
      <c r="B213" t="s">
        <v>265</v>
      </c>
      <c r="C213" t="s">
        <v>19</v>
      </c>
      <c r="D213" s="1">
        <v>43448</v>
      </c>
      <c r="E213" s="1">
        <v>43812</v>
      </c>
      <c r="F213" t="s">
        <v>32</v>
      </c>
      <c r="G213">
        <v>1</v>
      </c>
      <c r="H213" t="s">
        <v>21</v>
      </c>
      <c r="I213" t="s">
        <v>22</v>
      </c>
      <c r="J213" t="s">
        <v>54</v>
      </c>
      <c r="K213" t="s">
        <v>23</v>
      </c>
      <c r="L213">
        <v>212357.74</v>
      </c>
      <c r="M213" s="1">
        <v>43448</v>
      </c>
      <c r="N213" t="s">
        <v>24</v>
      </c>
      <c r="O213" t="s">
        <v>25</v>
      </c>
      <c r="Q213" s="1">
        <v>43852</v>
      </c>
    </row>
    <row r="214" spans="1:17" x14ac:dyDescent="0.5">
      <c r="A214" t="s">
        <v>262</v>
      </c>
      <c r="B214">
        <v>1.2140036170800001E+19</v>
      </c>
      <c r="C214" t="s">
        <v>31</v>
      </c>
      <c r="D214" s="1">
        <v>43160</v>
      </c>
      <c r="E214" s="1">
        <v>43524</v>
      </c>
      <c r="F214" t="s">
        <v>37</v>
      </c>
      <c r="G214">
        <v>1</v>
      </c>
      <c r="H214" t="s">
        <v>21</v>
      </c>
      <c r="I214" t="s">
        <v>22</v>
      </c>
      <c r="J214" t="s">
        <v>37</v>
      </c>
      <c r="K214" t="s">
        <v>66</v>
      </c>
      <c r="L214">
        <v>31250</v>
      </c>
      <c r="M214" s="1">
        <v>43160</v>
      </c>
      <c r="N214" t="s">
        <v>24</v>
      </c>
      <c r="O214" t="s">
        <v>25</v>
      </c>
      <c r="Q214" s="1">
        <v>43852</v>
      </c>
    </row>
    <row r="215" spans="1:17" x14ac:dyDescent="0.5">
      <c r="A215" t="s">
        <v>262</v>
      </c>
      <c r="B215" t="s">
        <v>266</v>
      </c>
      <c r="C215" t="s">
        <v>31</v>
      </c>
      <c r="D215" s="1">
        <v>43160</v>
      </c>
      <c r="E215" s="1">
        <v>43524</v>
      </c>
      <c r="F215" t="s">
        <v>37</v>
      </c>
      <c r="G215">
        <v>1</v>
      </c>
      <c r="H215" t="s">
        <v>21</v>
      </c>
      <c r="I215" t="s">
        <v>22</v>
      </c>
      <c r="J215" t="s">
        <v>37</v>
      </c>
      <c r="K215" t="s">
        <v>23</v>
      </c>
      <c r="L215">
        <v>43750</v>
      </c>
      <c r="M215" s="1">
        <v>43160</v>
      </c>
      <c r="N215" t="s">
        <v>24</v>
      </c>
      <c r="O215" t="s">
        <v>25</v>
      </c>
      <c r="Q215" s="1">
        <v>43852</v>
      </c>
    </row>
    <row r="216" spans="1:17" x14ac:dyDescent="0.5">
      <c r="A216" t="s">
        <v>262</v>
      </c>
      <c r="B216" t="s">
        <v>267</v>
      </c>
      <c r="C216" t="s">
        <v>31</v>
      </c>
      <c r="D216" s="1">
        <v>43160</v>
      </c>
      <c r="E216" s="1">
        <v>43524</v>
      </c>
      <c r="F216" t="s">
        <v>37</v>
      </c>
      <c r="G216">
        <v>1</v>
      </c>
      <c r="H216" t="s">
        <v>21</v>
      </c>
      <c r="I216" t="s">
        <v>22</v>
      </c>
      <c r="J216" t="s">
        <v>37</v>
      </c>
      <c r="K216" t="s">
        <v>66</v>
      </c>
      <c r="L216">
        <v>75000</v>
      </c>
      <c r="M216" s="1">
        <v>43160</v>
      </c>
      <c r="N216" t="s">
        <v>24</v>
      </c>
      <c r="O216" t="s">
        <v>25</v>
      </c>
      <c r="Q216" s="1">
        <v>43852</v>
      </c>
    </row>
    <row r="217" spans="1:17" x14ac:dyDescent="0.5">
      <c r="A217" t="s">
        <v>262</v>
      </c>
      <c r="B217" t="s">
        <v>268</v>
      </c>
      <c r="C217" t="s">
        <v>19</v>
      </c>
      <c r="D217" s="1">
        <v>43525</v>
      </c>
      <c r="E217" s="1">
        <v>43890</v>
      </c>
      <c r="F217" t="s">
        <v>37</v>
      </c>
      <c r="G217">
        <v>1</v>
      </c>
      <c r="H217" t="s">
        <v>21</v>
      </c>
      <c r="I217" t="s">
        <v>22</v>
      </c>
      <c r="J217" t="s">
        <v>37</v>
      </c>
      <c r="K217" t="s">
        <v>66</v>
      </c>
      <c r="L217">
        <v>31250</v>
      </c>
      <c r="M217" s="1">
        <v>43525</v>
      </c>
      <c r="N217" t="s">
        <v>24</v>
      </c>
      <c r="O217" t="s">
        <v>23</v>
      </c>
      <c r="Q217" s="1">
        <v>43852</v>
      </c>
    </row>
    <row r="218" spans="1:17" x14ac:dyDescent="0.5">
      <c r="A218" t="s">
        <v>262</v>
      </c>
      <c r="B218" t="s">
        <v>269</v>
      </c>
      <c r="C218" t="s">
        <v>19</v>
      </c>
      <c r="D218" s="1">
        <v>43525</v>
      </c>
      <c r="E218" s="1">
        <v>43890</v>
      </c>
      <c r="F218" t="s">
        <v>37</v>
      </c>
      <c r="G218">
        <v>1</v>
      </c>
      <c r="H218" t="s">
        <v>21</v>
      </c>
      <c r="I218" t="s">
        <v>22</v>
      </c>
      <c r="J218" t="s">
        <v>37</v>
      </c>
      <c r="K218" t="s">
        <v>23</v>
      </c>
      <c r="L218">
        <v>43750</v>
      </c>
      <c r="M218" s="1">
        <v>43525</v>
      </c>
      <c r="N218" t="s">
        <v>24</v>
      </c>
      <c r="O218" t="s">
        <v>23</v>
      </c>
      <c r="Q218" s="1">
        <v>43852</v>
      </c>
    </row>
    <row r="219" spans="1:17" x14ac:dyDescent="0.5">
      <c r="A219" t="s">
        <v>262</v>
      </c>
      <c r="B219" t="s">
        <v>270</v>
      </c>
      <c r="C219" t="s">
        <v>19</v>
      </c>
      <c r="D219" s="1">
        <v>43525</v>
      </c>
      <c r="E219" s="1">
        <v>43890</v>
      </c>
      <c r="F219" t="s">
        <v>37</v>
      </c>
      <c r="G219">
        <v>1</v>
      </c>
      <c r="H219" t="s">
        <v>21</v>
      </c>
      <c r="I219" t="s">
        <v>22</v>
      </c>
      <c r="J219" t="s">
        <v>37</v>
      </c>
      <c r="K219" t="s">
        <v>66</v>
      </c>
      <c r="L219">
        <v>75000</v>
      </c>
      <c r="M219" s="1">
        <v>43525</v>
      </c>
      <c r="N219" t="s">
        <v>24</v>
      </c>
      <c r="O219" t="s">
        <v>23</v>
      </c>
      <c r="Q219" s="1">
        <v>43852</v>
      </c>
    </row>
    <row r="220" spans="1:17" x14ac:dyDescent="0.5">
      <c r="A220" t="s">
        <v>262</v>
      </c>
      <c r="B220">
        <v>2302003268</v>
      </c>
      <c r="C220" t="s">
        <v>31</v>
      </c>
      <c r="D220" s="1">
        <v>43142</v>
      </c>
      <c r="E220" s="1">
        <v>43506</v>
      </c>
      <c r="F220" t="s">
        <v>37</v>
      </c>
      <c r="G220">
        <v>1</v>
      </c>
      <c r="H220" t="s">
        <v>21</v>
      </c>
      <c r="I220" t="s">
        <v>22</v>
      </c>
      <c r="J220" t="s">
        <v>37</v>
      </c>
      <c r="K220" t="s">
        <v>66</v>
      </c>
      <c r="L220">
        <v>23125</v>
      </c>
      <c r="M220" s="1">
        <v>43142</v>
      </c>
      <c r="N220" t="s">
        <v>24</v>
      </c>
      <c r="O220" t="s">
        <v>25</v>
      </c>
      <c r="Q220" s="1">
        <v>43852</v>
      </c>
    </row>
    <row r="221" spans="1:17" x14ac:dyDescent="0.5">
      <c r="A221" t="s">
        <v>262</v>
      </c>
      <c r="B221" t="s">
        <v>271</v>
      </c>
      <c r="C221" t="s">
        <v>19</v>
      </c>
      <c r="D221" s="1">
        <v>43507</v>
      </c>
      <c r="E221" s="1">
        <v>43871</v>
      </c>
      <c r="F221" t="s">
        <v>37</v>
      </c>
      <c r="G221">
        <v>1</v>
      </c>
      <c r="H221" t="s">
        <v>21</v>
      </c>
      <c r="I221" t="s">
        <v>22</v>
      </c>
      <c r="J221" t="s">
        <v>37</v>
      </c>
      <c r="K221" t="s">
        <v>66</v>
      </c>
      <c r="L221">
        <v>21875</v>
      </c>
      <c r="M221" s="1">
        <v>43507</v>
      </c>
      <c r="N221" t="s">
        <v>24</v>
      </c>
      <c r="O221" t="s">
        <v>23</v>
      </c>
      <c r="Q221" s="1">
        <v>43852</v>
      </c>
    </row>
    <row r="222" spans="1:17" x14ac:dyDescent="0.5">
      <c r="A222" t="s">
        <v>262</v>
      </c>
      <c r="B222">
        <v>2309003346</v>
      </c>
      <c r="C222" t="s">
        <v>19</v>
      </c>
      <c r="D222" s="1">
        <v>43332</v>
      </c>
      <c r="E222" s="1">
        <v>45523</v>
      </c>
      <c r="F222" t="s">
        <v>37</v>
      </c>
      <c r="G222">
        <v>1</v>
      </c>
      <c r="H222" t="s">
        <v>21</v>
      </c>
      <c r="I222" t="s">
        <v>22</v>
      </c>
      <c r="J222" t="s">
        <v>37</v>
      </c>
      <c r="K222" t="s">
        <v>66</v>
      </c>
      <c r="L222">
        <v>47500</v>
      </c>
      <c r="M222" s="1">
        <v>43332</v>
      </c>
      <c r="N222" t="s">
        <v>24</v>
      </c>
      <c r="O222" t="s">
        <v>25</v>
      </c>
      <c r="Q222" s="1">
        <v>43852</v>
      </c>
    </row>
    <row r="223" spans="1:17" x14ac:dyDescent="0.5">
      <c r="A223" t="s">
        <v>262</v>
      </c>
      <c r="B223">
        <v>2690000349</v>
      </c>
      <c r="C223" t="s">
        <v>19</v>
      </c>
      <c r="D223" s="1">
        <v>43100</v>
      </c>
      <c r="E223" s="1">
        <v>43464</v>
      </c>
      <c r="F223" t="s">
        <v>36</v>
      </c>
      <c r="G223">
        <v>1</v>
      </c>
      <c r="H223" t="s">
        <v>21</v>
      </c>
      <c r="I223" t="s">
        <v>22</v>
      </c>
      <c r="J223" t="s">
        <v>54</v>
      </c>
      <c r="K223" t="s">
        <v>23</v>
      </c>
      <c r="L223">
        <v>7632.55</v>
      </c>
      <c r="M223" s="1">
        <v>43100</v>
      </c>
      <c r="N223" t="s">
        <v>24</v>
      </c>
      <c r="O223" t="s">
        <v>25</v>
      </c>
      <c r="Q223" s="1">
        <v>43852</v>
      </c>
    </row>
    <row r="224" spans="1:17" x14ac:dyDescent="0.5">
      <c r="A224" t="s">
        <v>262</v>
      </c>
      <c r="B224">
        <v>55020309</v>
      </c>
      <c r="C224" t="s">
        <v>19</v>
      </c>
      <c r="D224" s="1">
        <v>43448</v>
      </c>
      <c r="E224" s="1">
        <v>43812</v>
      </c>
      <c r="F224" t="s">
        <v>36</v>
      </c>
      <c r="G224">
        <v>1</v>
      </c>
      <c r="H224" t="s">
        <v>21</v>
      </c>
      <c r="I224" t="s">
        <v>22</v>
      </c>
      <c r="J224" t="s">
        <v>54</v>
      </c>
      <c r="K224" t="s">
        <v>23</v>
      </c>
      <c r="L224">
        <v>2563.13</v>
      </c>
      <c r="M224" s="1">
        <v>43448</v>
      </c>
      <c r="N224" t="s">
        <v>24</v>
      </c>
      <c r="O224" t="s">
        <v>25</v>
      </c>
      <c r="Q224" s="1">
        <v>43852</v>
      </c>
    </row>
    <row r="225" spans="1:17" x14ac:dyDescent="0.5">
      <c r="A225" t="s">
        <v>262</v>
      </c>
      <c r="B225" t="s">
        <v>272</v>
      </c>
      <c r="C225" t="s">
        <v>31</v>
      </c>
      <c r="D225" s="1">
        <v>43274</v>
      </c>
      <c r="E225" s="1">
        <v>43638</v>
      </c>
      <c r="F225" t="s">
        <v>36</v>
      </c>
      <c r="G225">
        <v>12</v>
      </c>
      <c r="H225" t="s">
        <v>83</v>
      </c>
      <c r="I225" t="s">
        <v>22</v>
      </c>
      <c r="J225" t="s">
        <v>65</v>
      </c>
      <c r="K225" t="s">
        <v>23</v>
      </c>
      <c r="L225">
        <v>8269.74</v>
      </c>
      <c r="M225" s="1">
        <v>43274</v>
      </c>
      <c r="N225" t="s">
        <v>24</v>
      </c>
      <c r="O225" t="s">
        <v>45</v>
      </c>
      <c r="Q225" s="1">
        <v>43852</v>
      </c>
    </row>
    <row r="226" spans="1:17" x14ac:dyDescent="0.5">
      <c r="A226" t="s">
        <v>262</v>
      </c>
      <c r="B226" t="s">
        <v>272</v>
      </c>
      <c r="C226" t="s">
        <v>31</v>
      </c>
      <c r="D226" s="1">
        <v>43274</v>
      </c>
      <c r="E226" s="1">
        <v>43638</v>
      </c>
      <c r="F226" t="s">
        <v>36</v>
      </c>
      <c r="G226">
        <v>12</v>
      </c>
      <c r="H226" t="s">
        <v>83</v>
      </c>
      <c r="I226" t="s">
        <v>22</v>
      </c>
      <c r="J226" t="s">
        <v>65</v>
      </c>
      <c r="K226" t="s">
        <v>23</v>
      </c>
      <c r="L226">
        <v>5891</v>
      </c>
      <c r="M226" s="1">
        <v>43500</v>
      </c>
      <c r="N226" t="s">
        <v>47</v>
      </c>
      <c r="O226" t="s">
        <v>45</v>
      </c>
      <c r="Q226" s="1">
        <v>43852</v>
      </c>
    </row>
    <row r="227" spans="1:17" x14ac:dyDescent="0.5">
      <c r="A227" t="s">
        <v>262</v>
      </c>
      <c r="B227" t="s">
        <v>273</v>
      </c>
      <c r="C227" t="s">
        <v>31</v>
      </c>
      <c r="D227" s="1">
        <v>43274</v>
      </c>
      <c r="E227" s="1">
        <v>43638</v>
      </c>
      <c r="F227" t="s">
        <v>37</v>
      </c>
      <c r="G227">
        <v>12</v>
      </c>
      <c r="H227" t="s">
        <v>83</v>
      </c>
      <c r="I227" t="s">
        <v>22</v>
      </c>
      <c r="J227" t="s">
        <v>65</v>
      </c>
      <c r="K227" t="s">
        <v>23</v>
      </c>
      <c r="L227">
        <v>2720.25</v>
      </c>
      <c r="M227" s="1">
        <v>43274</v>
      </c>
      <c r="N227" t="s">
        <v>24</v>
      </c>
      <c r="O227" t="s">
        <v>25</v>
      </c>
      <c r="Q227" s="1">
        <v>43852</v>
      </c>
    </row>
    <row r="228" spans="1:17" x14ac:dyDescent="0.5">
      <c r="A228" t="s">
        <v>262</v>
      </c>
      <c r="B228" t="s">
        <v>274</v>
      </c>
      <c r="C228" t="s">
        <v>31</v>
      </c>
      <c r="D228" s="1">
        <v>43274</v>
      </c>
      <c r="E228" s="1">
        <v>43638</v>
      </c>
      <c r="F228" t="s">
        <v>37</v>
      </c>
      <c r="G228">
        <v>12</v>
      </c>
      <c r="H228" t="s">
        <v>83</v>
      </c>
      <c r="I228" t="s">
        <v>22</v>
      </c>
      <c r="J228" t="s">
        <v>65</v>
      </c>
      <c r="K228" t="s">
        <v>23</v>
      </c>
      <c r="L228">
        <v>375</v>
      </c>
      <c r="M228" s="1">
        <v>43274</v>
      </c>
      <c r="N228" t="s">
        <v>24</v>
      </c>
      <c r="O228" t="s">
        <v>25</v>
      </c>
      <c r="Q228" s="1">
        <v>43852</v>
      </c>
    </row>
    <row r="229" spans="1:17" x14ac:dyDescent="0.5">
      <c r="A229" t="s">
        <v>262</v>
      </c>
      <c r="B229" t="s">
        <v>275</v>
      </c>
      <c r="C229" t="s">
        <v>19</v>
      </c>
      <c r="D229" s="1">
        <v>43639</v>
      </c>
      <c r="E229" s="1">
        <v>44004</v>
      </c>
      <c r="F229" t="s">
        <v>36</v>
      </c>
      <c r="G229">
        <v>3</v>
      </c>
      <c r="H229" t="s">
        <v>64</v>
      </c>
      <c r="I229" t="s">
        <v>22</v>
      </c>
      <c r="J229" t="s">
        <v>65</v>
      </c>
      <c r="K229" t="s">
        <v>23</v>
      </c>
      <c r="L229">
        <v>15047.5</v>
      </c>
      <c r="M229" s="1">
        <v>43639</v>
      </c>
      <c r="N229" t="s">
        <v>24</v>
      </c>
      <c r="O229" t="s">
        <v>23</v>
      </c>
      <c r="Q229" s="1">
        <v>43852</v>
      </c>
    </row>
    <row r="230" spans="1:17" x14ac:dyDescent="0.5">
      <c r="A230" t="s">
        <v>262</v>
      </c>
      <c r="B230" t="s">
        <v>276</v>
      </c>
      <c r="C230" t="s">
        <v>19</v>
      </c>
      <c r="D230" s="1">
        <v>43639</v>
      </c>
      <c r="E230" s="1">
        <v>44004</v>
      </c>
      <c r="F230" t="s">
        <v>37</v>
      </c>
      <c r="G230">
        <v>3</v>
      </c>
      <c r="H230" t="s">
        <v>64</v>
      </c>
      <c r="I230" t="s">
        <v>22</v>
      </c>
      <c r="J230" t="s">
        <v>65</v>
      </c>
      <c r="K230" t="s">
        <v>23</v>
      </c>
      <c r="L230">
        <v>2852.5</v>
      </c>
      <c r="M230" s="1">
        <v>43639</v>
      </c>
      <c r="N230" t="s">
        <v>24</v>
      </c>
      <c r="O230" t="s">
        <v>23</v>
      </c>
      <c r="Q230" s="1">
        <v>43852</v>
      </c>
    </row>
    <row r="231" spans="1:17" x14ac:dyDescent="0.5">
      <c r="A231" t="s">
        <v>262</v>
      </c>
      <c r="B231" t="s">
        <v>277</v>
      </c>
      <c r="C231" t="s">
        <v>19</v>
      </c>
      <c r="D231" s="1">
        <v>43639</v>
      </c>
      <c r="E231" s="1">
        <v>44004</v>
      </c>
      <c r="F231" t="s">
        <v>37</v>
      </c>
      <c r="G231">
        <v>3</v>
      </c>
      <c r="H231" t="s">
        <v>64</v>
      </c>
      <c r="I231" t="s">
        <v>22</v>
      </c>
      <c r="J231" t="s">
        <v>65</v>
      </c>
      <c r="K231" t="s">
        <v>23</v>
      </c>
      <c r="L231">
        <v>495</v>
      </c>
      <c r="M231" s="1">
        <v>43639</v>
      </c>
      <c r="N231" t="s">
        <v>24</v>
      </c>
      <c r="O231" t="s">
        <v>23</v>
      </c>
      <c r="Q231" s="1">
        <v>43852</v>
      </c>
    </row>
    <row r="232" spans="1:17" x14ac:dyDescent="0.5">
      <c r="A232" t="s">
        <v>262</v>
      </c>
      <c r="B232">
        <v>505613</v>
      </c>
      <c r="C232" t="s">
        <v>19</v>
      </c>
      <c r="D232" s="1">
        <v>43580</v>
      </c>
      <c r="E232" s="1">
        <v>43945</v>
      </c>
      <c r="F232" t="s">
        <v>40</v>
      </c>
      <c r="G232">
        <v>10</v>
      </c>
      <c r="H232" t="s">
        <v>41</v>
      </c>
      <c r="I232" t="s">
        <v>22</v>
      </c>
      <c r="J232" t="s">
        <v>42</v>
      </c>
      <c r="K232" t="s">
        <v>23</v>
      </c>
      <c r="L232">
        <v>9294.35</v>
      </c>
      <c r="M232" s="1">
        <v>43580</v>
      </c>
      <c r="N232" t="s">
        <v>24</v>
      </c>
      <c r="O232" t="s">
        <v>25</v>
      </c>
      <c r="Q232" s="1">
        <v>43852</v>
      </c>
    </row>
    <row r="233" spans="1:17" x14ac:dyDescent="0.5">
      <c r="A233" t="s">
        <v>262</v>
      </c>
      <c r="B233" t="s">
        <v>278</v>
      </c>
      <c r="C233" t="s">
        <v>31</v>
      </c>
      <c r="D233" s="1">
        <v>43274</v>
      </c>
      <c r="E233" s="1">
        <v>43638</v>
      </c>
      <c r="F233" t="s">
        <v>40</v>
      </c>
      <c r="G233">
        <v>12</v>
      </c>
      <c r="H233" t="s">
        <v>83</v>
      </c>
      <c r="I233" t="s">
        <v>22</v>
      </c>
      <c r="J233" t="s">
        <v>65</v>
      </c>
      <c r="K233" t="s">
        <v>23</v>
      </c>
      <c r="L233">
        <v>2440.25</v>
      </c>
      <c r="M233" s="1">
        <v>43274</v>
      </c>
      <c r="N233" t="s">
        <v>24</v>
      </c>
      <c r="O233" t="s">
        <v>25</v>
      </c>
      <c r="Q233" s="1">
        <v>43852</v>
      </c>
    </row>
    <row r="234" spans="1:17" x14ac:dyDescent="0.5">
      <c r="A234" t="s">
        <v>262</v>
      </c>
      <c r="B234" t="s">
        <v>279</v>
      </c>
      <c r="C234" t="s">
        <v>19</v>
      </c>
      <c r="D234" s="1">
        <v>43639</v>
      </c>
      <c r="E234" s="1">
        <v>44004</v>
      </c>
      <c r="F234" t="s">
        <v>40</v>
      </c>
      <c r="G234">
        <v>3</v>
      </c>
      <c r="H234" t="s">
        <v>64</v>
      </c>
      <c r="I234" t="s">
        <v>22</v>
      </c>
      <c r="J234" t="s">
        <v>65</v>
      </c>
      <c r="K234" t="s">
        <v>23</v>
      </c>
      <c r="L234">
        <v>1412.55</v>
      </c>
      <c r="M234" s="1">
        <v>43639</v>
      </c>
      <c r="N234" t="s">
        <v>24</v>
      </c>
      <c r="O234" t="s">
        <v>23</v>
      </c>
      <c r="Q234" s="1">
        <v>43852</v>
      </c>
    </row>
    <row r="235" spans="1:17" x14ac:dyDescent="0.5">
      <c r="A235" t="s">
        <v>262</v>
      </c>
      <c r="B235" t="s">
        <v>280</v>
      </c>
      <c r="C235" t="s">
        <v>19</v>
      </c>
      <c r="D235" s="1">
        <v>43579</v>
      </c>
      <c r="E235" s="1">
        <v>43944</v>
      </c>
      <c r="F235" t="s">
        <v>40</v>
      </c>
      <c r="G235">
        <v>10</v>
      </c>
      <c r="H235" t="s">
        <v>41</v>
      </c>
      <c r="I235" t="s">
        <v>22</v>
      </c>
      <c r="J235" t="s">
        <v>42</v>
      </c>
      <c r="K235" t="s">
        <v>23</v>
      </c>
      <c r="L235">
        <v>63750</v>
      </c>
      <c r="M235" s="1">
        <v>43579</v>
      </c>
      <c r="N235" t="s">
        <v>24</v>
      </c>
      <c r="O235" t="s">
        <v>45</v>
      </c>
      <c r="Q235" s="1">
        <v>43852</v>
      </c>
    </row>
    <row r="236" spans="1:17" x14ac:dyDescent="0.5">
      <c r="A236" t="s">
        <v>262</v>
      </c>
      <c r="B236" t="s">
        <v>280</v>
      </c>
      <c r="C236" t="s">
        <v>19</v>
      </c>
      <c r="D236" s="1">
        <v>43579</v>
      </c>
      <c r="E236" s="1">
        <v>43944</v>
      </c>
      <c r="F236" t="s">
        <v>40</v>
      </c>
      <c r="G236">
        <v>10</v>
      </c>
      <c r="H236" t="s">
        <v>41</v>
      </c>
      <c r="I236" t="s">
        <v>22</v>
      </c>
      <c r="J236" t="s">
        <v>42</v>
      </c>
      <c r="K236" t="s">
        <v>23</v>
      </c>
      <c r="L236">
        <v>3098.63</v>
      </c>
      <c r="M236" s="1">
        <v>43659</v>
      </c>
      <c r="N236" t="s">
        <v>47</v>
      </c>
      <c r="O236" t="s">
        <v>45</v>
      </c>
      <c r="Q236" s="1">
        <v>43852</v>
      </c>
    </row>
    <row r="237" spans="1:17" x14ac:dyDescent="0.5">
      <c r="A237" t="s">
        <v>262</v>
      </c>
      <c r="B237" t="s">
        <v>280</v>
      </c>
      <c r="C237" t="s">
        <v>19</v>
      </c>
      <c r="D237" s="1">
        <v>43579</v>
      </c>
      <c r="E237" s="1">
        <v>43944</v>
      </c>
      <c r="F237" t="s">
        <v>40</v>
      </c>
      <c r="G237">
        <v>10</v>
      </c>
      <c r="H237" t="s">
        <v>41</v>
      </c>
      <c r="I237" t="s">
        <v>22</v>
      </c>
      <c r="J237" t="s">
        <v>42</v>
      </c>
      <c r="K237" t="s">
        <v>23</v>
      </c>
      <c r="L237">
        <v>1747.2</v>
      </c>
      <c r="M237" s="1">
        <v>43663</v>
      </c>
      <c r="N237" t="s">
        <v>47</v>
      </c>
      <c r="O237" t="s">
        <v>45</v>
      </c>
      <c r="Q237" s="1">
        <v>43852</v>
      </c>
    </row>
    <row r="238" spans="1:17" x14ac:dyDescent="0.5">
      <c r="A238" t="s">
        <v>262</v>
      </c>
      <c r="B238" t="s">
        <v>280</v>
      </c>
      <c r="C238" t="s">
        <v>19</v>
      </c>
      <c r="D238" s="1">
        <v>43579</v>
      </c>
      <c r="E238" s="1">
        <v>43944</v>
      </c>
      <c r="F238" t="s">
        <v>40</v>
      </c>
      <c r="G238">
        <v>10</v>
      </c>
      <c r="H238" t="s">
        <v>41</v>
      </c>
      <c r="I238" t="s">
        <v>22</v>
      </c>
      <c r="J238" t="s">
        <v>42</v>
      </c>
      <c r="K238" t="s">
        <v>23</v>
      </c>
      <c r="L238">
        <v>2458.58</v>
      </c>
      <c r="M238" s="1">
        <v>43599</v>
      </c>
      <c r="N238" t="s">
        <v>47</v>
      </c>
      <c r="O238" t="s">
        <v>45</v>
      </c>
      <c r="Q238" s="1">
        <v>43852</v>
      </c>
    </row>
    <row r="239" spans="1:17" x14ac:dyDescent="0.5">
      <c r="A239" t="s">
        <v>262</v>
      </c>
      <c r="B239" t="s">
        <v>281</v>
      </c>
      <c r="C239" t="s">
        <v>31</v>
      </c>
      <c r="D239" s="1">
        <v>43191</v>
      </c>
      <c r="E239" s="1">
        <v>43555</v>
      </c>
      <c r="F239" t="s">
        <v>40</v>
      </c>
      <c r="G239">
        <v>10</v>
      </c>
      <c r="H239" t="s">
        <v>41</v>
      </c>
      <c r="I239" t="s">
        <v>22</v>
      </c>
      <c r="J239" t="s">
        <v>42</v>
      </c>
      <c r="K239" t="s">
        <v>23</v>
      </c>
      <c r="L239">
        <v>11249.93</v>
      </c>
      <c r="M239" s="1">
        <v>43191</v>
      </c>
      <c r="N239" t="s">
        <v>24</v>
      </c>
      <c r="O239" t="s">
        <v>252</v>
      </c>
      <c r="P239" t="s">
        <v>282</v>
      </c>
      <c r="Q239" s="1">
        <v>43852</v>
      </c>
    </row>
    <row r="240" spans="1:17" x14ac:dyDescent="0.5">
      <c r="A240" t="s">
        <v>262</v>
      </c>
      <c r="B240" t="s">
        <v>283</v>
      </c>
      <c r="C240" t="s">
        <v>31</v>
      </c>
      <c r="D240" s="1">
        <v>43191</v>
      </c>
      <c r="E240" s="1">
        <v>43555</v>
      </c>
      <c r="F240" t="s">
        <v>40</v>
      </c>
      <c r="G240">
        <v>10</v>
      </c>
      <c r="H240" t="s">
        <v>41</v>
      </c>
      <c r="I240" t="s">
        <v>22</v>
      </c>
      <c r="J240" t="s">
        <v>42</v>
      </c>
      <c r="K240" t="s">
        <v>23</v>
      </c>
      <c r="L240">
        <v>14603.3</v>
      </c>
      <c r="M240" s="1">
        <v>43191</v>
      </c>
      <c r="N240" t="s">
        <v>24</v>
      </c>
      <c r="O240" t="s">
        <v>252</v>
      </c>
      <c r="P240" t="s">
        <v>282</v>
      </c>
      <c r="Q240" s="1">
        <v>43852</v>
      </c>
    </row>
    <row r="241" spans="1:17" x14ac:dyDescent="0.5">
      <c r="A241" t="s">
        <v>262</v>
      </c>
      <c r="B241" t="s">
        <v>284</v>
      </c>
      <c r="C241" t="s">
        <v>31</v>
      </c>
      <c r="D241" s="1">
        <v>43264</v>
      </c>
      <c r="E241" s="1">
        <v>43628</v>
      </c>
      <c r="F241" t="s">
        <v>40</v>
      </c>
      <c r="G241">
        <v>10</v>
      </c>
      <c r="H241" t="s">
        <v>41</v>
      </c>
      <c r="I241" t="s">
        <v>22</v>
      </c>
      <c r="J241" t="s">
        <v>42</v>
      </c>
      <c r="K241" t="s">
        <v>23</v>
      </c>
      <c r="L241">
        <v>28940.65</v>
      </c>
      <c r="M241" s="1">
        <v>43264</v>
      </c>
      <c r="N241" t="s">
        <v>24</v>
      </c>
      <c r="O241" t="s">
        <v>252</v>
      </c>
      <c r="P241" t="s">
        <v>282</v>
      </c>
      <c r="Q241" s="1">
        <v>43852</v>
      </c>
    </row>
    <row r="242" spans="1:17" x14ac:dyDescent="0.5">
      <c r="A242" t="s">
        <v>262</v>
      </c>
      <c r="B242" t="s">
        <v>285</v>
      </c>
      <c r="C242" t="s">
        <v>31</v>
      </c>
      <c r="D242" s="1">
        <v>43191</v>
      </c>
      <c r="E242" s="1">
        <v>43555</v>
      </c>
      <c r="F242" t="s">
        <v>40</v>
      </c>
      <c r="G242">
        <v>10</v>
      </c>
      <c r="H242" t="s">
        <v>41</v>
      </c>
      <c r="I242" t="s">
        <v>22</v>
      </c>
      <c r="J242" t="s">
        <v>42</v>
      </c>
      <c r="K242" t="s">
        <v>23</v>
      </c>
      <c r="L242">
        <v>146052.65</v>
      </c>
      <c r="M242" s="1">
        <v>43191</v>
      </c>
      <c r="N242" t="s">
        <v>24</v>
      </c>
      <c r="O242" t="s">
        <v>252</v>
      </c>
      <c r="P242" t="s">
        <v>282</v>
      </c>
      <c r="Q242" s="1">
        <v>43852</v>
      </c>
    </row>
    <row r="243" spans="1:17" x14ac:dyDescent="0.5">
      <c r="A243" t="s">
        <v>262</v>
      </c>
      <c r="B243">
        <v>2309002897</v>
      </c>
      <c r="C243" t="s">
        <v>19</v>
      </c>
      <c r="D243" s="1">
        <v>43587</v>
      </c>
      <c r="E243" s="1">
        <v>43952</v>
      </c>
      <c r="F243" t="s">
        <v>37</v>
      </c>
      <c r="G243">
        <v>1</v>
      </c>
      <c r="H243" t="s">
        <v>21</v>
      </c>
      <c r="I243" t="s">
        <v>22</v>
      </c>
      <c r="J243" t="s">
        <v>37</v>
      </c>
      <c r="K243" t="s">
        <v>23</v>
      </c>
      <c r="L243">
        <v>25000</v>
      </c>
      <c r="M243" s="1">
        <v>43587</v>
      </c>
      <c r="N243" t="s">
        <v>24</v>
      </c>
      <c r="O243" t="s">
        <v>25</v>
      </c>
      <c r="Q243" s="1">
        <v>43852</v>
      </c>
    </row>
    <row r="244" spans="1:17" x14ac:dyDescent="0.5">
      <c r="A244" t="s">
        <v>26</v>
      </c>
      <c r="B244">
        <v>206312000000</v>
      </c>
      <c r="C244" t="s">
        <v>19</v>
      </c>
      <c r="D244" s="1">
        <v>43512</v>
      </c>
      <c r="E244" s="1">
        <v>43876</v>
      </c>
      <c r="F244" t="s">
        <v>40</v>
      </c>
      <c r="G244">
        <v>13</v>
      </c>
      <c r="H244" t="s">
        <v>212</v>
      </c>
      <c r="I244" t="s">
        <v>22</v>
      </c>
      <c r="J244" t="s">
        <v>42</v>
      </c>
      <c r="K244" t="s">
        <v>28</v>
      </c>
      <c r="L244">
        <v>1148.93</v>
      </c>
      <c r="M244" s="1">
        <v>43512</v>
      </c>
      <c r="N244" t="s">
        <v>24</v>
      </c>
      <c r="O244" t="s">
        <v>25</v>
      </c>
      <c r="Q244" s="1">
        <v>43852</v>
      </c>
    </row>
    <row r="245" spans="1:17" x14ac:dyDescent="0.5">
      <c r="A245" t="s">
        <v>29</v>
      </c>
      <c r="B245">
        <v>206314000000</v>
      </c>
      <c r="C245" t="s">
        <v>19</v>
      </c>
      <c r="D245" s="1">
        <v>43512</v>
      </c>
      <c r="E245" s="1">
        <v>43876</v>
      </c>
      <c r="F245" t="s">
        <v>40</v>
      </c>
      <c r="G245">
        <v>13</v>
      </c>
      <c r="H245" t="s">
        <v>212</v>
      </c>
      <c r="I245" t="s">
        <v>22</v>
      </c>
      <c r="J245" t="s">
        <v>42</v>
      </c>
      <c r="K245" t="s">
        <v>28</v>
      </c>
      <c r="L245">
        <v>58300</v>
      </c>
      <c r="M245" s="1">
        <v>43512</v>
      </c>
      <c r="N245" t="s">
        <v>24</v>
      </c>
      <c r="O245" t="s">
        <v>25</v>
      </c>
      <c r="Q245" s="1">
        <v>43852</v>
      </c>
    </row>
    <row r="246" spans="1:17" x14ac:dyDescent="0.5">
      <c r="A246" t="s">
        <v>34</v>
      </c>
      <c r="B246">
        <v>8907502</v>
      </c>
      <c r="C246" t="s">
        <v>31</v>
      </c>
      <c r="D246" s="1">
        <v>43155</v>
      </c>
      <c r="E246" s="1">
        <v>43519</v>
      </c>
      <c r="F246" t="s">
        <v>37</v>
      </c>
      <c r="G246">
        <v>12</v>
      </c>
      <c r="H246" t="s">
        <v>83</v>
      </c>
      <c r="I246" t="s">
        <v>22</v>
      </c>
      <c r="J246" t="s">
        <v>65</v>
      </c>
      <c r="K246" t="s">
        <v>23</v>
      </c>
      <c r="L246">
        <v>6250</v>
      </c>
      <c r="M246" s="1">
        <v>43155</v>
      </c>
      <c r="N246" t="s">
        <v>24</v>
      </c>
      <c r="O246" t="s">
        <v>25</v>
      </c>
      <c r="Q246" s="1">
        <v>43852</v>
      </c>
    </row>
    <row r="247" spans="1:17" x14ac:dyDescent="0.5">
      <c r="A247" t="s">
        <v>35</v>
      </c>
      <c r="B247" t="s">
        <v>286</v>
      </c>
      <c r="C247" t="s">
        <v>19</v>
      </c>
      <c r="D247" s="1">
        <v>43520</v>
      </c>
      <c r="E247" s="1">
        <v>43884</v>
      </c>
      <c r="F247" t="s">
        <v>37</v>
      </c>
      <c r="G247">
        <v>3</v>
      </c>
      <c r="H247" t="s">
        <v>64</v>
      </c>
      <c r="I247" t="s">
        <v>22</v>
      </c>
      <c r="J247" t="s">
        <v>65</v>
      </c>
      <c r="K247" t="s">
        <v>23</v>
      </c>
      <c r="L247">
        <v>6250</v>
      </c>
      <c r="M247" s="1">
        <v>43520</v>
      </c>
      <c r="N247" t="s">
        <v>24</v>
      </c>
      <c r="O247" t="s">
        <v>23</v>
      </c>
      <c r="Q247" s="1">
        <v>43852</v>
      </c>
    </row>
    <row r="248" spans="1:17" x14ac:dyDescent="0.5">
      <c r="A248" t="s">
        <v>38</v>
      </c>
      <c r="B248" t="s">
        <v>287</v>
      </c>
      <c r="C248" t="s">
        <v>31</v>
      </c>
      <c r="D248" s="1">
        <v>43157</v>
      </c>
      <c r="E248" s="1">
        <v>43521</v>
      </c>
      <c r="F248" t="s">
        <v>37</v>
      </c>
      <c r="G248">
        <v>12</v>
      </c>
      <c r="H248" t="s">
        <v>83</v>
      </c>
      <c r="I248" t="s">
        <v>22</v>
      </c>
      <c r="J248" t="s">
        <v>65</v>
      </c>
      <c r="K248" t="s">
        <v>23</v>
      </c>
      <c r="L248">
        <v>12500</v>
      </c>
      <c r="M248" s="1">
        <v>43157</v>
      </c>
      <c r="N248" t="s">
        <v>24</v>
      </c>
      <c r="O248" t="s">
        <v>25</v>
      </c>
      <c r="Q248" s="1">
        <v>43852</v>
      </c>
    </row>
    <row r="249" spans="1:17" x14ac:dyDescent="0.5">
      <c r="A249" t="s">
        <v>43</v>
      </c>
      <c r="B249" t="s">
        <v>288</v>
      </c>
      <c r="C249" t="s">
        <v>19</v>
      </c>
      <c r="D249" s="1">
        <v>43522</v>
      </c>
      <c r="E249" s="1">
        <v>43886</v>
      </c>
      <c r="F249" t="s">
        <v>37</v>
      </c>
      <c r="G249">
        <v>3</v>
      </c>
      <c r="H249" t="s">
        <v>64</v>
      </c>
      <c r="I249" t="s">
        <v>22</v>
      </c>
      <c r="J249" t="s">
        <v>65</v>
      </c>
      <c r="K249" t="s">
        <v>23</v>
      </c>
      <c r="L249">
        <v>12500</v>
      </c>
      <c r="M249" s="1">
        <v>43522</v>
      </c>
      <c r="N249" t="s">
        <v>24</v>
      </c>
      <c r="O249" t="s">
        <v>23</v>
      </c>
      <c r="Q249" s="1">
        <v>43852</v>
      </c>
    </row>
    <row r="250" spans="1:17" x14ac:dyDescent="0.5">
      <c r="A250" t="s">
        <v>46</v>
      </c>
      <c r="B250">
        <v>2280082714</v>
      </c>
      <c r="C250" t="s">
        <v>19</v>
      </c>
      <c r="D250" s="1">
        <v>43535</v>
      </c>
      <c r="E250" s="1">
        <v>43900</v>
      </c>
      <c r="F250" t="s">
        <v>36</v>
      </c>
      <c r="G250">
        <v>3</v>
      </c>
      <c r="H250" t="s">
        <v>64</v>
      </c>
      <c r="I250" t="s">
        <v>22</v>
      </c>
      <c r="J250" t="s">
        <v>65</v>
      </c>
      <c r="K250" t="s">
        <v>66</v>
      </c>
      <c r="L250">
        <v>2645.75</v>
      </c>
      <c r="M250" s="1">
        <v>43535</v>
      </c>
      <c r="N250" t="s">
        <v>24</v>
      </c>
      <c r="O250" t="s">
        <v>25</v>
      </c>
      <c r="Q250" s="1">
        <v>43852</v>
      </c>
    </row>
    <row r="251" spans="1:17" x14ac:dyDescent="0.5">
      <c r="A251" t="s">
        <v>48</v>
      </c>
      <c r="B251" t="s">
        <v>289</v>
      </c>
      <c r="C251" t="s">
        <v>31</v>
      </c>
      <c r="D251" s="1">
        <v>43158</v>
      </c>
      <c r="E251" s="1">
        <v>43522</v>
      </c>
      <c r="F251" t="s">
        <v>32</v>
      </c>
      <c r="G251">
        <v>1</v>
      </c>
      <c r="H251" t="s">
        <v>21</v>
      </c>
      <c r="I251" t="s">
        <v>22</v>
      </c>
      <c r="J251" t="s">
        <v>54</v>
      </c>
      <c r="K251" t="s">
        <v>28</v>
      </c>
      <c r="L251">
        <v>2939.29</v>
      </c>
      <c r="M251" s="1">
        <v>43158</v>
      </c>
      <c r="N251" t="s">
        <v>24</v>
      </c>
      <c r="O251" t="s">
        <v>25</v>
      </c>
      <c r="Q251" s="1">
        <v>43852</v>
      </c>
    </row>
    <row r="252" spans="1:17" x14ac:dyDescent="0.5">
      <c r="A252" t="s">
        <v>49</v>
      </c>
      <c r="B252">
        <v>8539756</v>
      </c>
      <c r="C252" t="s">
        <v>31</v>
      </c>
      <c r="D252" s="1">
        <v>43158</v>
      </c>
      <c r="E252" s="1">
        <v>43522</v>
      </c>
      <c r="F252" t="s">
        <v>32</v>
      </c>
      <c r="G252">
        <v>1</v>
      </c>
      <c r="H252" t="s">
        <v>21</v>
      </c>
      <c r="I252" t="s">
        <v>22</v>
      </c>
      <c r="J252" t="s">
        <v>54</v>
      </c>
      <c r="K252" t="s">
        <v>23</v>
      </c>
      <c r="L252">
        <v>5207.66</v>
      </c>
      <c r="M252" s="1">
        <v>43158</v>
      </c>
      <c r="N252" t="s">
        <v>24</v>
      </c>
      <c r="O252" t="s">
        <v>25</v>
      </c>
      <c r="Q252" s="1">
        <v>43852</v>
      </c>
    </row>
    <row r="253" spans="1:17" x14ac:dyDescent="0.5">
      <c r="A253" t="s">
        <v>51</v>
      </c>
      <c r="B253" t="s">
        <v>290</v>
      </c>
      <c r="C253" t="s">
        <v>19</v>
      </c>
      <c r="D253" s="1">
        <v>43523</v>
      </c>
      <c r="E253" s="1">
        <v>43887</v>
      </c>
      <c r="F253" t="s">
        <v>32</v>
      </c>
      <c r="G253">
        <v>1</v>
      </c>
      <c r="H253" t="s">
        <v>21</v>
      </c>
      <c r="I253" t="s">
        <v>22</v>
      </c>
      <c r="J253" t="s">
        <v>54</v>
      </c>
      <c r="K253" t="s">
        <v>23</v>
      </c>
      <c r="L253">
        <v>5601.1</v>
      </c>
      <c r="M253" s="1">
        <v>43523</v>
      </c>
      <c r="N253" t="s">
        <v>24</v>
      </c>
      <c r="O253" t="s">
        <v>23</v>
      </c>
      <c r="Q253" s="1">
        <v>43852</v>
      </c>
    </row>
    <row r="254" spans="1:17" x14ac:dyDescent="0.5">
      <c r="A254" t="s">
        <v>53</v>
      </c>
      <c r="B254" t="s">
        <v>291</v>
      </c>
      <c r="C254" t="s">
        <v>31</v>
      </c>
      <c r="D254" s="1">
        <v>43158</v>
      </c>
      <c r="E254" s="1">
        <v>43522</v>
      </c>
      <c r="F254" t="s">
        <v>32</v>
      </c>
      <c r="G254">
        <v>1</v>
      </c>
      <c r="H254" t="s">
        <v>21</v>
      </c>
      <c r="I254" t="s">
        <v>22</v>
      </c>
      <c r="J254" t="s">
        <v>54</v>
      </c>
      <c r="K254" t="s">
        <v>66</v>
      </c>
      <c r="L254">
        <v>1972.37</v>
      </c>
      <c r="M254" s="1">
        <v>43158</v>
      </c>
      <c r="N254" t="s">
        <v>24</v>
      </c>
      <c r="O254" t="s">
        <v>25</v>
      </c>
      <c r="Q254" s="1">
        <v>43852</v>
      </c>
    </row>
    <row r="255" spans="1:17" x14ac:dyDescent="0.5">
      <c r="A255" t="s">
        <v>55</v>
      </c>
      <c r="B255" t="s">
        <v>255</v>
      </c>
      <c r="C255" t="s">
        <v>19</v>
      </c>
      <c r="D255" s="1">
        <v>43523</v>
      </c>
      <c r="E255" s="1">
        <v>43887</v>
      </c>
      <c r="F255" t="s">
        <v>32</v>
      </c>
      <c r="G255">
        <v>1</v>
      </c>
      <c r="H255" t="s">
        <v>21</v>
      </c>
      <c r="I255" t="s">
        <v>22</v>
      </c>
      <c r="J255" t="s">
        <v>54</v>
      </c>
      <c r="K255" t="s">
        <v>66</v>
      </c>
      <c r="L255">
        <v>2141.5500000000002</v>
      </c>
      <c r="M255" s="1">
        <v>43523</v>
      </c>
      <c r="N255" t="s">
        <v>24</v>
      </c>
      <c r="O255" t="s">
        <v>23</v>
      </c>
      <c r="Q255" s="1">
        <v>43852</v>
      </c>
    </row>
    <row r="256" spans="1:17" x14ac:dyDescent="0.5">
      <c r="A256" t="s">
        <v>56</v>
      </c>
      <c r="B256" t="s">
        <v>292</v>
      </c>
      <c r="C256" t="s">
        <v>19</v>
      </c>
      <c r="D256" s="1">
        <v>43523</v>
      </c>
      <c r="E256" s="1">
        <v>43887</v>
      </c>
      <c r="F256" t="s">
        <v>32</v>
      </c>
      <c r="G256">
        <v>1</v>
      </c>
      <c r="H256" t="s">
        <v>21</v>
      </c>
      <c r="I256" t="s">
        <v>22</v>
      </c>
      <c r="J256" t="s">
        <v>54</v>
      </c>
      <c r="K256" t="s">
        <v>23</v>
      </c>
      <c r="L256">
        <v>3136.39</v>
      </c>
      <c r="M256" s="1">
        <v>43526</v>
      </c>
      <c r="N256" t="s">
        <v>24</v>
      </c>
      <c r="O256" t="s">
        <v>23</v>
      </c>
      <c r="Q256" s="1">
        <v>43852</v>
      </c>
    </row>
    <row r="257" spans="1:17" x14ac:dyDescent="0.5">
      <c r="A257" t="s">
        <v>58</v>
      </c>
      <c r="B257">
        <v>1.6026192112042202E+17</v>
      </c>
      <c r="C257" t="s">
        <v>19</v>
      </c>
      <c r="D257" s="1">
        <v>43784</v>
      </c>
      <c r="E257" s="1">
        <v>44149</v>
      </c>
      <c r="F257" t="s">
        <v>32</v>
      </c>
      <c r="G257">
        <v>1</v>
      </c>
      <c r="H257" t="s">
        <v>21</v>
      </c>
      <c r="I257" t="s">
        <v>22</v>
      </c>
      <c r="J257" t="s">
        <v>61</v>
      </c>
      <c r="K257" t="s">
        <v>23</v>
      </c>
      <c r="L257">
        <v>35127.9</v>
      </c>
      <c r="M257" s="1">
        <v>43784</v>
      </c>
      <c r="N257" t="s">
        <v>24</v>
      </c>
      <c r="O257" t="s">
        <v>25</v>
      </c>
      <c r="Q257" s="1">
        <v>43852</v>
      </c>
    </row>
    <row r="258" spans="1:17" x14ac:dyDescent="0.5">
      <c r="A258" t="s">
        <v>62</v>
      </c>
      <c r="B258" t="s">
        <v>293</v>
      </c>
      <c r="C258" t="s">
        <v>19</v>
      </c>
      <c r="D258" s="1">
        <v>43536</v>
      </c>
      <c r="E258" s="1">
        <v>43901</v>
      </c>
      <c r="F258" t="s">
        <v>202</v>
      </c>
      <c r="G258">
        <v>11</v>
      </c>
      <c r="H258" t="s">
        <v>138</v>
      </c>
      <c r="I258" t="s">
        <v>22</v>
      </c>
      <c r="J258" t="s">
        <v>33</v>
      </c>
      <c r="K258" t="s">
        <v>66</v>
      </c>
      <c r="L258">
        <v>18229.13</v>
      </c>
      <c r="M258" s="1">
        <v>43536</v>
      </c>
      <c r="N258" t="s">
        <v>24</v>
      </c>
      <c r="O258" t="s">
        <v>25</v>
      </c>
      <c r="Q258" s="1">
        <v>43852</v>
      </c>
    </row>
    <row r="259" spans="1:17" x14ac:dyDescent="0.5">
      <c r="A259" t="s">
        <v>63</v>
      </c>
      <c r="B259" t="s">
        <v>294</v>
      </c>
      <c r="C259" t="s">
        <v>19</v>
      </c>
      <c r="D259" s="1">
        <v>43175</v>
      </c>
      <c r="E259" s="1">
        <v>43539</v>
      </c>
      <c r="F259" t="s">
        <v>36</v>
      </c>
      <c r="G259">
        <v>11</v>
      </c>
      <c r="H259" t="s">
        <v>138</v>
      </c>
      <c r="I259" t="s">
        <v>22</v>
      </c>
      <c r="J259" t="s">
        <v>37</v>
      </c>
      <c r="K259" t="s">
        <v>66</v>
      </c>
      <c r="L259">
        <v>6158.75</v>
      </c>
      <c r="M259" s="1">
        <v>43175</v>
      </c>
      <c r="N259" t="s">
        <v>24</v>
      </c>
      <c r="O259" t="s">
        <v>25</v>
      </c>
      <c r="Q259" s="1">
        <v>43852</v>
      </c>
    </row>
    <row r="260" spans="1:17" x14ac:dyDescent="0.5">
      <c r="A260" t="s">
        <v>67</v>
      </c>
      <c r="B260" t="s">
        <v>295</v>
      </c>
      <c r="C260" t="s">
        <v>19</v>
      </c>
      <c r="D260" s="1">
        <v>43122</v>
      </c>
      <c r="E260" s="1">
        <v>43486</v>
      </c>
      <c r="F260" t="s">
        <v>20</v>
      </c>
      <c r="G260">
        <v>1</v>
      </c>
      <c r="H260" t="s">
        <v>21</v>
      </c>
      <c r="I260" t="s">
        <v>22</v>
      </c>
      <c r="J260" t="s">
        <v>20</v>
      </c>
      <c r="K260" t="s">
        <v>66</v>
      </c>
      <c r="L260">
        <v>825</v>
      </c>
      <c r="M260" s="1">
        <v>43122</v>
      </c>
      <c r="N260" t="s">
        <v>24</v>
      </c>
      <c r="O260" t="s">
        <v>25</v>
      </c>
      <c r="Q260" s="1">
        <v>43852</v>
      </c>
    </row>
    <row r="261" spans="1:17" x14ac:dyDescent="0.5">
      <c r="A261" t="s">
        <v>69</v>
      </c>
      <c r="B261" t="s">
        <v>296</v>
      </c>
      <c r="C261" t="s">
        <v>31</v>
      </c>
      <c r="D261" s="1">
        <v>43151</v>
      </c>
      <c r="E261" s="1">
        <v>43515</v>
      </c>
      <c r="F261" t="s">
        <v>36</v>
      </c>
      <c r="G261">
        <v>9</v>
      </c>
      <c r="H261" t="s">
        <v>60</v>
      </c>
      <c r="I261" t="s">
        <v>22</v>
      </c>
      <c r="J261" t="s">
        <v>54</v>
      </c>
      <c r="K261" t="s">
        <v>23</v>
      </c>
      <c r="L261">
        <v>8452.1299999999992</v>
      </c>
      <c r="M261" s="1">
        <v>43151</v>
      </c>
      <c r="N261" t="s">
        <v>24</v>
      </c>
      <c r="O261" t="s">
        <v>25</v>
      </c>
      <c r="Q261" s="1">
        <v>43852</v>
      </c>
    </row>
    <row r="262" spans="1:17" x14ac:dyDescent="0.5">
      <c r="A262" t="s">
        <v>71</v>
      </c>
      <c r="B262" t="s">
        <v>297</v>
      </c>
      <c r="C262" t="s">
        <v>19</v>
      </c>
      <c r="D262" s="1">
        <v>43466</v>
      </c>
      <c r="E262" s="1">
        <v>43830</v>
      </c>
      <c r="F262" t="s">
        <v>32</v>
      </c>
      <c r="G262">
        <v>9</v>
      </c>
      <c r="H262" t="s">
        <v>60</v>
      </c>
      <c r="I262" t="s">
        <v>22</v>
      </c>
      <c r="J262" t="s">
        <v>54</v>
      </c>
      <c r="K262" t="s">
        <v>66</v>
      </c>
      <c r="L262">
        <v>7475</v>
      </c>
      <c r="M262" s="1">
        <v>43466</v>
      </c>
      <c r="N262" t="s">
        <v>24</v>
      </c>
      <c r="O262" t="s">
        <v>25</v>
      </c>
      <c r="Q262" s="1">
        <v>43852</v>
      </c>
    </row>
    <row r="263" spans="1:17" x14ac:dyDescent="0.5">
      <c r="A263" t="s">
        <v>72</v>
      </c>
      <c r="B263" t="s">
        <v>298</v>
      </c>
      <c r="C263" t="s">
        <v>19</v>
      </c>
      <c r="D263" s="1">
        <v>43507</v>
      </c>
      <c r="E263" s="1">
        <v>43871</v>
      </c>
      <c r="F263" t="s">
        <v>36</v>
      </c>
      <c r="G263">
        <v>9</v>
      </c>
      <c r="H263" t="s">
        <v>60</v>
      </c>
      <c r="I263" t="s">
        <v>22</v>
      </c>
      <c r="J263" t="s">
        <v>54</v>
      </c>
      <c r="K263" t="s">
        <v>66</v>
      </c>
      <c r="L263">
        <v>15563.87</v>
      </c>
      <c r="M263" s="1">
        <v>43507</v>
      </c>
      <c r="N263" t="s">
        <v>24</v>
      </c>
      <c r="O263" t="s">
        <v>25</v>
      </c>
      <c r="Q263" s="1">
        <v>43852</v>
      </c>
    </row>
    <row r="264" spans="1:17" x14ac:dyDescent="0.5">
      <c r="A264" t="s">
        <v>74</v>
      </c>
      <c r="B264">
        <v>43177302</v>
      </c>
      <c r="C264" t="s">
        <v>19</v>
      </c>
      <c r="D264" s="1">
        <v>43432</v>
      </c>
      <c r="E264" s="1">
        <v>43612</v>
      </c>
      <c r="F264" t="s">
        <v>36</v>
      </c>
      <c r="G264">
        <v>9</v>
      </c>
      <c r="H264" t="s">
        <v>60</v>
      </c>
      <c r="I264" t="s">
        <v>22</v>
      </c>
      <c r="J264" t="s">
        <v>42</v>
      </c>
      <c r="K264" t="s">
        <v>66</v>
      </c>
      <c r="L264">
        <v>2739.83</v>
      </c>
      <c r="M264" s="1">
        <v>43432</v>
      </c>
      <c r="N264" t="s">
        <v>24</v>
      </c>
      <c r="O264" t="s">
        <v>25</v>
      </c>
      <c r="Q264" s="1">
        <v>43852</v>
      </c>
    </row>
    <row r="265" spans="1:17" x14ac:dyDescent="0.5">
      <c r="A265" t="s">
        <v>76</v>
      </c>
      <c r="B265">
        <v>43179225</v>
      </c>
      <c r="C265" t="s">
        <v>19</v>
      </c>
      <c r="D265" s="1">
        <v>43463</v>
      </c>
      <c r="E265" s="1">
        <v>43644</v>
      </c>
      <c r="F265" t="s">
        <v>36</v>
      </c>
      <c r="G265">
        <v>9</v>
      </c>
      <c r="H265" t="s">
        <v>60</v>
      </c>
      <c r="I265" t="s">
        <v>22</v>
      </c>
      <c r="J265" t="s">
        <v>42</v>
      </c>
      <c r="K265" t="s">
        <v>23</v>
      </c>
      <c r="L265">
        <v>2228.33</v>
      </c>
      <c r="M265" s="1">
        <v>43463</v>
      </c>
      <c r="N265" t="s">
        <v>24</v>
      </c>
      <c r="O265" t="s">
        <v>25</v>
      </c>
      <c r="Q265" s="1">
        <v>43852</v>
      </c>
    </row>
    <row r="266" spans="1:17" x14ac:dyDescent="0.5">
      <c r="A266" t="s">
        <v>78</v>
      </c>
      <c r="B266" t="s">
        <v>299</v>
      </c>
      <c r="C266" t="s">
        <v>19</v>
      </c>
      <c r="D266" s="1">
        <v>43516</v>
      </c>
      <c r="E266" s="1">
        <v>43880</v>
      </c>
      <c r="F266" t="s">
        <v>36</v>
      </c>
      <c r="G266">
        <v>9</v>
      </c>
      <c r="H266" t="s">
        <v>60</v>
      </c>
      <c r="I266" t="s">
        <v>22</v>
      </c>
      <c r="J266" t="s">
        <v>54</v>
      </c>
      <c r="K266" t="s">
        <v>23</v>
      </c>
      <c r="L266">
        <v>7162.88</v>
      </c>
      <c r="M266" s="1">
        <v>43516</v>
      </c>
      <c r="N266" t="s">
        <v>24</v>
      </c>
      <c r="O266" t="s">
        <v>23</v>
      </c>
      <c r="Q266" s="1">
        <v>43852</v>
      </c>
    </row>
    <row r="267" spans="1:17" x14ac:dyDescent="0.5">
      <c r="A267" t="s">
        <v>79</v>
      </c>
      <c r="B267" t="s">
        <v>300</v>
      </c>
      <c r="C267" t="s">
        <v>19</v>
      </c>
      <c r="D267" s="1">
        <v>43504</v>
      </c>
      <c r="E267" s="1">
        <v>43868</v>
      </c>
      <c r="F267" t="s">
        <v>32</v>
      </c>
      <c r="G267">
        <v>13</v>
      </c>
      <c r="H267" t="s">
        <v>212</v>
      </c>
      <c r="I267" t="s">
        <v>22</v>
      </c>
      <c r="J267" t="s">
        <v>54</v>
      </c>
      <c r="K267" t="s">
        <v>28</v>
      </c>
      <c r="L267">
        <v>1569.64</v>
      </c>
      <c r="M267" s="1">
        <v>43504</v>
      </c>
      <c r="N267" t="s">
        <v>24</v>
      </c>
      <c r="O267" t="s">
        <v>25</v>
      </c>
      <c r="Q267" s="1">
        <v>43852</v>
      </c>
    </row>
    <row r="268" spans="1:17" x14ac:dyDescent="0.5">
      <c r="A268" t="s">
        <v>80</v>
      </c>
      <c r="B268" t="s">
        <v>301</v>
      </c>
      <c r="C268" t="s">
        <v>19</v>
      </c>
      <c r="D268" s="1">
        <v>43169</v>
      </c>
      <c r="E268" s="1">
        <v>43533</v>
      </c>
      <c r="F268" t="s">
        <v>32</v>
      </c>
      <c r="G268">
        <v>1</v>
      </c>
      <c r="H268" t="s">
        <v>21</v>
      </c>
      <c r="I268" t="s">
        <v>22</v>
      </c>
      <c r="J268" t="s">
        <v>54</v>
      </c>
      <c r="K268" t="s">
        <v>28</v>
      </c>
      <c r="L268">
        <v>2340.25</v>
      </c>
      <c r="M268" s="1">
        <v>43169</v>
      </c>
      <c r="N268" t="s">
        <v>24</v>
      </c>
      <c r="O268" t="s">
        <v>25</v>
      </c>
      <c r="Q268" s="1">
        <v>43852</v>
      </c>
    </row>
    <row r="269" spans="1:17" x14ac:dyDescent="0.5">
      <c r="A269" t="s">
        <v>81</v>
      </c>
      <c r="B269" t="s">
        <v>302</v>
      </c>
      <c r="C269" t="s">
        <v>19</v>
      </c>
      <c r="D269" s="1">
        <v>43169</v>
      </c>
      <c r="E269" s="1">
        <v>43533</v>
      </c>
      <c r="F269" t="s">
        <v>36</v>
      </c>
      <c r="G269">
        <v>1</v>
      </c>
      <c r="H269" t="s">
        <v>21</v>
      </c>
      <c r="I269" t="s">
        <v>22</v>
      </c>
      <c r="J269" t="s">
        <v>54</v>
      </c>
      <c r="K269" t="s">
        <v>28</v>
      </c>
      <c r="L269">
        <v>125</v>
      </c>
      <c r="M269" s="1">
        <v>43169</v>
      </c>
      <c r="N269" t="s">
        <v>24</v>
      </c>
      <c r="O269" t="s">
        <v>25</v>
      </c>
      <c r="Q269" s="1">
        <v>43852</v>
      </c>
    </row>
    <row r="270" spans="1:17" x14ac:dyDescent="0.5">
      <c r="A270" t="s">
        <v>84</v>
      </c>
      <c r="B270" t="s">
        <v>303</v>
      </c>
      <c r="C270" t="s">
        <v>19</v>
      </c>
      <c r="D270" s="1">
        <v>43252</v>
      </c>
      <c r="E270" s="1">
        <v>43616</v>
      </c>
      <c r="F270" t="s">
        <v>37</v>
      </c>
      <c r="G270">
        <v>11</v>
      </c>
      <c r="H270" t="s">
        <v>138</v>
      </c>
      <c r="I270" t="s">
        <v>22</v>
      </c>
      <c r="J270" t="s">
        <v>37</v>
      </c>
      <c r="K270" t="s">
        <v>28</v>
      </c>
      <c r="L270">
        <v>100000</v>
      </c>
      <c r="M270" s="1">
        <v>43252</v>
      </c>
      <c r="N270" t="s">
        <v>24</v>
      </c>
      <c r="O270" t="s">
        <v>45</v>
      </c>
      <c r="Q270" s="1">
        <v>43852</v>
      </c>
    </row>
    <row r="271" spans="1:17" x14ac:dyDescent="0.5">
      <c r="A271" t="s">
        <v>86</v>
      </c>
      <c r="B271" t="s">
        <v>303</v>
      </c>
      <c r="C271" t="s">
        <v>19</v>
      </c>
      <c r="D271" s="1">
        <v>43252</v>
      </c>
      <c r="E271" s="1">
        <v>43616</v>
      </c>
      <c r="F271" t="s">
        <v>37</v>
      </c>
      <c r="G271">
        <v>11</v>
      </c>
      <c r="H271" t="s">
        <v>138</v>
      </c>
      <c r="I271" t="s">
        <v>22</v>
      </c>
      <c r="J271" t="s">
        <v>37</v>
      </c>
      <c r="K271" t="s">
        <v>28</v>
      </c>
      <c r="M271" s="1">
        <v>43315</v>
      </c>
      <c r="N271" t="s">
        <v>47</v>
      </c>
      <c r="O271" t="s">
        <v>45</v>
      </c>
      <c r="Q271" s="1">
        <v>43852</v>
      </c>
    </row>
    <row r="272" spans="1:17" x14ac:dyDescent="0.5">
      <c r="A272" t="s">
        <v>87</v>
      </c>
      <c r="B272" t="s">
        <v>304</v>
      </c>
      <c r="C272" t="s">
        <v>19</v>
      </c>
      <c r="D272" s="1">
        <v>43577</v>
      </c>
      <c r="E272" s="1">
        <v>43942</v>
      </c>
      <c r="F272" t="s">
        <v>37</v>
      </c>
      <c r="G272">
        <v>11</v>
      </c>
      <c r="H272" t="s">
        <v>138</v>
      </c>
      <c r="I272" t="s">
        <v>22</v>
      </c>
      <c r="J272" t="s">
        <v>37</v>
      </c>
      <c r="K272" t="s">
        <v>66</v>
      </c>
      <c r="L272">
        <v>60025</v>
      </c>
      <c r="M272" s="1">
        <v>43577</v>
      </c>
      <c r="N272" t="s">
        <v>24</v>
      </c>
      <c r="O272" t="s">
        <v>25</v>
      </c>
      <c r="Q272" s="1">
        <v>43852</v>
      </c>
    </row>
    <row r="273" spans="1:17" x14ac:dyDescent="0.5">
      <c r="A273" t="s">
        <v>88</v>
      </c>
      <c r="B273">
        <v>2.9992028732742001E+18</v>
      </c>
      <c r="C273" t="s">
        <v>19</v>
      </c>
      <c r="D273" s="1">
        <v>43654</v>
      </c>
      <c r="E273" s="1">
        <v>44019</v>
      </c>
      <c r="F273" t="s">
        <v>37</v>
      </c>
      <c r="G273">
        <v>11</v>
      </c>
      <c r="H273" t="s">
        <v>138</v>
      </c>
      <c r="I273" t="s">
        <v>22</v>
      </c>
      <c r="J273" t="s">
        <v>37</v>
      </c>
      <c r="K273" t="s">
        <v>66</v>
      </c>
      <c r="L273">
        <v>60025</v>
      </c>
      <c r="M273" s="1">
        <v>43654</v>
      </c>
      <c r="N273" t="s">
        <v>24</v>
      </c>
      <c r="O273" t="s">
        <v>25</v>
      </c>
      <c r="Q273" s="1">
        <v>43852</v>
      </c>
    </row>
    <row r="274" spans="1:17" x14ac:dyDescent="0.5">
      <c r="A274" t="s">
        <v>90</v>
      </c>
      <c r="B274">
        <v>2.9992028733097999E+18</v>
      </c>
      <c r="C274" t="s">
        <v>19</v>
      </c>
      <c r="D274" s="1">
        <v>43654</v>
      </c>
      <c r="E274" s="1">
        <v>44019</v>
      </c>
      <c r="F274" t="s">
        <v>37</v>
      </c>
      <c r="G274">
        <v>11</v>
      </c>
      <c r="H274" t="s">
        <v>138</v>
      </c>
      <c r="I274" t="s">
        <v>22</v>
      </c>
      <c r="J274" t="s">
        <v>37</v>
      </c>
      <c r="K274" t="s">
        <v>66</v>
      </c>
      <c r="L274">
        <v>60025</v>
      </c>
      <c r="M274" s="1">
        <v>43654</v>
      </c>
      <c r="N274" t="s">
        <v>24</v>
      </c>
      <c r="O274" t="s">
        <v>25</v>
      </c>
      <c r="Q274" s="1">
        <v>43852</v>
      </c>
    </row>
    <row r="275" spans="1:17" x14ac:dyDescent="0.5">
      <c r="A275" t="s">
        <v>92</v>
      </c>
      <c r="B275" t="s">
        <v>305</v>
      </c>
      <c r="C275" t="s">
        <v>31</v>
      </c>
      <c r="D275" s="1">
        <v>43280</v>
      </c>
      <c r="E275" s="1">
        <v>43644</v>
      </c>
      <c r="F275" t="s">
        <v>40</v>
      </c>
      <c r="G275">
        <v>10</v>
      </c>
      <c r="H275" t="s">
        <v>41</v>
      </c>
      <c r="I275" t="s">
        <v>22</v>
      </c>
      <c r="J275" t="s">
        <v>42</v>
      </c>
      <c r="K275" t="s">
        <v>23</v>
      </c>
      <c r="L275">
        <v>5839.35</v>
      </c>
      <c r="M275" s="1">
        <v>43280</v>
      </c>
      <c r="N275" t="s">
        <v>24</v>
      </c>
      <c r="O275" t="s">
        <v>252</v>
      </c>
      <c r="P275" t="s">
        <v>282</v>
      </c>
      <c r="Q275" s="1">
        <v>43852</v>
      </c>
    </row>
    <row r="276" spans="1:17" x14ac:dyDescent="0.5">
      <c r="A276" t="s">
        <v>94</v>
      </c>
      <c r="B276" t="s">
        <v>306</v>
      </c>
      <c r="C276" t="s">
        <v>19</v>
      </c>
      <c r="D276" s="1">
        <v>43466</v>
      </c>
      <c r="E276" s="1">
        <v>43830</v>
      </c>
      <c r="F276" t="s">
        <v>20</v>
      </c>
      <c r="G276">
        <v>3</v>
      </c>
      <c r="H276" t="s">
        <v>64</v>
      </c>
      <c r="I276" t="s">
        <v>22</v>
      </c>
      <c r="J276" t="s">
        <v>65</v>
      </c>
      <c r="K276" t="s">
        <v>23</v>
      </c>
      <c r="L276">
        <v>36833.85</v>
      </c>
      <c r="M276" s="1">
        <v>43466</v>
      </c>
      <c r="N276" t="s">
        <v>24</v>
      </c>
      <c r="O276" t="s">
        <v>23</v>
      </c>
      <c r="Q276" s="1">
        <v>43852</v>
      </c>
    </row>
    <row r="277" spans="1:17" x14ac:dyDescent="0.5">
      <c r="A277" t="s">
        <v>96</v>
      </c>
      <c r="B277" t="s">
        <v>307</v>
      </c>
      <c r="C277" t="s">
        <v>19</v>
      </c>
      <c r="D277" s="1">
        <v>43282</v>
      </c>
      <c r="E277" s="1">
        <v>43646</v>
      </c>
      <c r="F277" t="s">
        <v>36</v>
      </c>
      <c r="G277">
        <v>3</v>
      </c>
      <c r="H277" t="s">
        <v>64</v>
      </c>
      <c r="I277" t="s">
        <v>22</v>
      </c>
      <c r="J277" t="s">
        <v>65</v>
      </c>
      <c r="K277" t="s">
        <v>23</v>
      </c>
      <c r="L277">
        <v>6268.75</v>
      </c>
      <c r="M277" s="1">
        <v>43646</v>
      </c>
      <c r="N277" t="s">
        <v>24</v>
      </c>
      <c r="O277" t="s">
        <v>25</v>
      </c>
      <c r="Q277" s="1">
        <v>43852</v>
      </c>
    </row>
    <row r="278" spans="1:17" x14ac:dyDescent="0.5">
      <c r="A278" t="s">
        <v>97</v>
      </c>
      <c r="B278" t="s">
        <v>308</v>
      </c>
      <c r="C278" t="s">
        <v>19</v>
      </c>
      <c r="D278" s="1">
        <v>43282</v>
      </c>
      <c r="E278" s="1">
        <v>43646</v>
      </c>
      <c r="F278" t="s">
        <v>32</v>
      </c>
      <c r="G278">
        <v>3</v>
      </c>
      <c r="H278" t="s">
        <v>64</v>
      </c>
      <c r="I278" t="s">
        <v>22</v>
      </c>
      <c r="J278" t="s">
        <v>65</v>
      </c>
      <c r="K278" t="s">
        <v>23</v>
      </c>
      <c r="L278">
        <v>45473.07</v>
      </c>
      <c r="M278" s="1">
        <v>43646</v>
      </c>
      <c r="N278" t="s">
        <v>24</v>
      </c>
      <c r="O278" t="s">
        <v>25</v>
      </c>
      <c r="Q278" s="1">
        <v>43852</v>
      </c>
    </row>
    <row r="279" spans="1:17" x14ac:dyDescent="0.5">
      <c r="A279" t="s">
        <v>98</v>
      </c>
      <c r="B279" t="s">
        <v>309</v>
      </c>
      <c r="C279" t="s">
        <v>19</v>
      </c>
      <c r="D279" s="1">
        <v>43282</v>
      </c>
      <c r="E279" s="1">
        <v>43646</v>
      </c>
      <c r="F279" t="s">
        <v>36</v>
      </c>
      <c r="G279">
        <v>3</v>
      </c>
      <c r="H279" t="s">
        <v>64</v>
      </c>
      <c r="I279" t="s">
        <v>22</v>
      </c>
      <c r="J279" t="s">
        <v>65</v>
      </c>
      <c r="K279" t="s">
        <v>23</v>
      </c>
      <c r="L279">
        <v>9436.56</v>
      </c>
      <c r="M279" s="1">
        <v>43646</v>
      </c>
      <c r="N279" t="s">
        <v>24</v>
      </c>
      <c r="O279" t="s">
        <v>25</v>
      </c>
      <c r="Q279" s="1">
        <v>43852</v>
      </c>
    </row>
    <row r="280" spans="1:17" x14ac:dyDescent="0.5">
      <c r="A280" t="s">
        <v>100</v>
      </c>
      <c r="B280" t="s">
        <v>310</v>
      </c>
      <c r="C280" t="s">
        <v>19</v>
      </c>
      <c r="D280" s="1">
        <v>43282</v>
      </c>
      <c r="E280" s="1">
        <v>43646</v>
      </c>
      <c r="F280" t="s">
        <v>37</v>
      </c>
      <c r="G280">
        <v>3</v>
      </c>
      <c r="H280" t="s">
        <v>64</v>
      </c>
      <c r="I280" t="s">
        <v>22</v>
      </c>
      <c r="J280" t="s">
        <v>65</v>
      </c>
      <c r="K280" t="s">
        <v>23</v>
      </c>
      <c r="L280">
        <v>30030.63</v>
      </c>
      <c r="M280" s="1">
        <v>43646</v>
      </c>
      <c r="N280" t="s">
        <v>24</v>
      </c>
      <c r="O280" t="s">
        <v>25</v>
      </c>
      <c r="Q280" s="1">
        <v>43852</v>
      </c>
    </row>
    <row r="281" spans="1:17" x14ac:dyDescent="0.5">
      <c r="A281" t="s">
        <v>102</v>
      </c>
      <c r="B281" t="s">
        <v>311</v>
      </c>
      <c r="C281" t="s">
        <v>19</v>
      </c>
      <c r="D281" s="1">
        <v>43369</v>
      </c>
      <c r="E281" s="1">
        <v>43733</v>
      </c>
      <c r="F281" t="s">
        <v>20</v>
      </c>
      <c r="G281">
        <v>1</v>
      </c>
      <c r="H281" t="s">
        <v>21</v>
      </c>
      <c r="I281" t="s">
        <v>22</v>
      </c>
      <c r="J281" t="s">
        <v>20</v>
      </c>
      <c r="K281" t="s">
        <v>66</v>
      </c>
      <c r="L281">
        <v>2722.5</v>
      </c>
      <c r="M281" s="1">
        <v>43369</v>
      </c>
      <c r="N281" t="s">
        <v>24</v>
      </c>
      <c r="O281" t="s">
        <v>25</v>
      </c>
      <c r="Q281" s="1">
        <v>43852</v>
      </c>
    </row>
    <row r="282" spans="1:17" x14ac:dyDescent="0.5">
      <c r="A282" t="s">
        <v>103</v>
      </c>
      <c r="B282">
        <v>9.1000036171699995E+19</v>
      </c>
      <c r="C282" t="s">
        <v>31</v>
      </c>
      <c r="D282" s="1">
        <v>43081</v>
      </c>
      <c r="E282" s="1">
        <v>43445</v>
      </c>
      <c r="F282" t="s">
        <v>37</v>
      </c>
      <c r="G282">
        <v>6</v>
      </c>
      <c r="H282" t="s">
        <v>104</v>
      </c>
      <c r="I282" t="s">
        <v>22</v>
      </c>
      <c r="J282" t="s">
        <v>37</v>
      </c>
      <c r="K282" t="s">
        <v>28</v>
      </c>
      <c r="L282">
        <v>71875</v>
      </c>
      <c r="M282" s="1">
        <v>43081</v>
      </c>
      <c r="N282" t="s">
        <v>24</v>
      </c>
      <c r="O282" t="s">
        <v>25</v>
      </c>
      <c r="Q282" s="1">
        <v>43852</v>
      </c>
    </row>
    <row r="283" spans="1:17" x14ac:dyDescent="0.5">
      <c r="A283" t="s">
        <v>105</v>
      </c>
      <c r="B283">
        <v>9.1000036181700002E+19</v>
      </c>
      <c r="C283" t="s">
        <v>19</v>
      </c>
      <c r="D283" s="1">
        <v>43446</v>
      </c>
      <c r="E283" s="1">
        <v>43810</v>
      </c>
      <c r="F283" t="s">
        <v>37</v>
      </c>
      <c r="G283">
        <v>6</v>
      </c>
      <c r="H283" t="s">
        <v>104</v>
      </c>
      <c r="I283" t="s">
        <v>22</v>
      </c>
      <c r="J283" t="s">
        <v>37</v>
      </c>
      <c r="K283" t="s">
        <v>23</v>
      </c>
      <c r="L283">
        <v>62500</v>
      </c>
      <c r="M283" s="1">
        <v>43446</v>
      </c>
      <c r="N283" t="s">
        <v>24</v>
      </c>
      <c r="O283" t="s">
        <v>23</v>
      </c>
      <c r="Q283" s="1">
        <v>43852</v>
      </c>
    </row>
    <row r="284" spans="1:17" x14ac:dyDescent="0.5">
      <c r="A284" t="s">
        <v>106</v>
      </c>
      <c r="B284">
        <v>304001140</v>
      </c>
      <c r="C284" t="s">
        <v>19</v>
      </c>
      <c r="D284" s="1">
        <v>43313</v>
      </c>
      <c r="E284" s="1">
        <v>43677</v>
      </c>
      <c r="F284" t="s">
        <v>37</v>
      </c>
      <c r="G284">
        <v>6</v>
      </c>
      <c r="H284" t="s">
        <v>104</v>
      </c>
      <c r="I284" t="s">
        <v>22</v>
      </c>
      <c r="J284" t="s">
        <v>37</v>
      </c>
      <c r="K284" t="s">
        <v>23</v>
      </c>
      <c r="L284">
        <v>84375</v>
      </c>
      <c r="M284" s="1">
        <v>43313</v>
      </c>
      <c r="N284" t="s">
        <v>24</v>
      </c>
      <c r="O284" t="s">
        <v>25</v>
      </c>
      <c r="Q284" s="1">
        <v>43852</v>
      </c>
    </row>
    <row r="285" spans="1:17" x14ac:dyDescent="0.5">
      <c r="A285" t="s">
        <v>108</v>
      </c>
      <c r="B285">
        <v>635003567</v>
      </c>
      <c r="C285" t="s">
        <v>31</v>
      </c>
      <c r="D285" s="1">
        <v>43070</v>
      </c>
      <c r="E285" s="1">
        <v>43434</v>
      </c>
      <c r="F285" t="s">
        <v>36</v>
      </c>
      <c r="G285">
        <v>3</v>
      </c>
      <c r="H285" t="s">
        <v>64</v>
      </c>
      <c r="I285" t="s">
        <v>22</v>
      </c>
      <c r="J285" t="s">
        <v>65</v>
      </c>
      <c r="K285" t="s">
        <v>28</v>
      </c>
      <c r="L285">
        <v>55107.13</v>
      </c>
      <c r="M285" s="1">
        <v>43070</v>
      </c>
      <c r="N285" t="s">
        <v>24</v>
      </c>
      <c r="O285" t="s">
        <v>25</v>
      </c>
      <c r="Q285" s="1">
        <v>43852</v>
      </c>
    </row>
    <row r="286" spans="1:17" x14ac:dyDescent="0.5">
      <c r="A286" t="s">
        <v>110</v>
      </c>
      <c r="B286" t="s">
        <v>312</v>
      </c>
      <c r="C286" t="s">
        <v>19</v>
      </c>
      <c r="D286" s="1">
        <v>43435</v>
      </c>
      <c r="E286" s="1">
        <v>43799</v>
      </c>
      <c r="F286" t="s">
        <v>36</v>
      </c>
      <c r="G286">
        <v>12</v>
      </c>
      <c r="H286" t="s">
        <v>83</v>
      </c>
      <c r="I286" t="s">
        <v>22</v>
      </c>
      <c r="J286" t="s">
        <v>65</v>
      </c>
      <c r="K286" t="s">
        <v>23</v>
      </c>
      <c r="L286">
        <v>231094.04</v>
      </c>
      <c r="M286" s="1">
        <v>43435</v>
      </c>
      <c r="N286" t="s">
        <v>24</v>
      </c>
      <c r="O286" t="s">
        <v>23</v>
      </c>
      <c r="Q286" s="1">
        <v>43852</v>
      </c>
    </row>
    <row r="287" spans="1:17" x14ac:dyDescent="0.5">
      <c r="A287" t="s">
        <v>112</v>
      </c>
      <c r="B287" t="s">
        <v>313</v>
      </c>
      <c r="C287" t="s">
        <v>19</v>
      </c>
      <c r="D287" s="1">
        <v>43245</v>
      </c>
      <c r="E287" s="1">
        <v>43609</v>
      </c>
      <c r="F287" t="s">
        <v>36</v>
      </c>
      <c r="G287">
        <v>1</v>
      </c>
      <c r="H287" t="s">
        <v>21</v>
      </c>
      <c r="I287" t="s">
        <v>22</v>
      </c>
      <c r="J287" t="s">
        <v>37</v>
      </c>
      <c r="K287" t="s">
        <v>66</v>
      </c>
      <c r="L287">
        <v>943.5</v>
      </c>
      <c r="M287" s="1">
        <v>43246</v>
      </c>
      <c r="N287" t="s">
        <v>24</v>
      </c>
      <c r="O287" t="s">
        <v>25</v>
      </c>
      <c r="Q287" s="1">
        <v>43852</v>
      </c>
    </row>
    <row r="288" spans="1:17" x14ac:dyDescent="0.5">
      <c r="A288" t="s">
        <v>114</v>
      </c>
      <c r="B288" t="s">
        <v>314</v>
      </c>
      <c r="C288" t="s">
        <v>19</v>
      </c>
      <c r="D288" s="1">
        <v>43245</v>
      </c>
      <c r="E288" s="1">
        <v>43609</v>
      </c>
      <c r="F288" t="s">
        <v>36</v>
      </c>
      <c r="G288">
        <v>1</v>
      </c>
      <c r="H288" t="s">
        <v>21</v>
      </c>
      <c r="I288" t="s">
        <v>22</v>
      </c>
      <c r="J288" t="s">
        <v>37</v>
      </c>
      <c r="K288" t="s">
        <v>66</v>
      </c>
      <c r="L288">
        <v>2809.13</v>
      </c>
      <c r="M288" s="1">
        <v>43245</v>
      </c>
      <c r="N288" t="s">
        <v>24</v>
      </c>
      <c r="O288" t="s">
        <v>25</v>
      </c>
      <c r="Q288" s="1">
        <v>43852</v>
      </c>
    </row>
    <row r="289" spans="1:17" x14ac:dyDescent="0.5">
      <c r="A289" t="s">
        <v>115</v>
      </c>
      <c r="B289" t="s">
        <v>315</v>
      </c>
      <c r="C289" t="s">
        <v>19</v>
      </c>
      <c r="D289" s="1">
        <v>43245</v>
      </c>
      <c r="E289" s="1">
        <v>43609</v>
      </c>
      <c r="F289" t="s">
        <v>36</v>
      </c>
      <c r="G289">
        <v>1</v>
      </c>
      <c r="H289" t="s">
        <v>21</v>
      </c>
      <c r="I289" t="s">
        <v>22</v>
      </c>
      <c r="J289" t="s">
        <v>37</v>
      </c>
      <c r="K289" t="s">
        <v>23</v>
      </c>
      <c r="L289">
        <v>2809.25</v>
      </c>
      <c r="M289" s="1">
        <v>43245</v>
      </c>
      <c r="N289" t="s">
        <v>24</v>
      </c>
      <c r="O289" t="s">
        <v>25</v>
      </c>
      <c r="Q289" s="1">
        <v>43852</v>
      </c>
    </row>
    <row r="290" spans="1:17" x14ac:dyDescent="0.5">
      <c r="A290" t="s">
        <v>117</v>
      </c>
      <c r="B290">
        <v>15552994</v>
      </c>
      <c r="C290" t="s">
        <v>19</v>
      </c>
      <c r="D290" s="1">
        <v>43801</v>
      </c>
      <c r="E290" s="1">
        <v>44166</v>
      </c>
      <c r="F290" t="s">
        <v>20</v>
      </c>
      <c r="G290">
        <v>2</v>
      </c>
      <c r="H290" t="s">
        <v>27</v>
      </c>
      <c r="I290" t="s">
        <v>22</v>
      </c>
      <c r="J290" t="s">
        <v>20</v>
      </c>
      <c r="K290" t="s">
        <v>28</v>
      </c>
      <c r="L290">
        <v>20625</v>
      </c>
      <c r="M290" s="1">
        <v>43801</v>
      </c>
      <c r="N290" t="s">
        <v>24</v>
      </c>
      <c r="O290" t="s">
        <v>25</v>
      </c>
      <c r="Q290" s="1">
        <v>43852</v>
      </c>
    </row>
    <row r="291" spans="1:17" x14ac:dyDescent="0.5">
      <c r="A291" t="s">
        <v>119</v>
      </c>
      <c r="B291">
        <v>9.9000011190100001E+19</v>
      </c>
      <c r="C291" t="s">
        <v>19</v>
      </c>
      <c r="D291" s="1">
        <v>43675</v>
      </c>
      <c r="E291" s="1">
        <v>44040</v>
      </c>
      <c r="F291" t="s">
        <v>32</v>
      </c>
      <c r="G291">
        <v>2</v>
      </c>
      <c r="H291" t="s">
        <v>27</v>
      </c>
      <c r="I291" t="s">
        <v>22</v>
      </c>
      <c r="J291" t="s">
        <v>61</v>
      </c>
      <c r="K291" t="s">
        <v>28</v>
      </c>
      <c r="L291">
        <v>32683</v>
      </c>
      <c r="M291" s="1">
        <v>43675</v>
      </c>
      <c r="N291" t="s">
        <v>24</v>
      </c>
      <c r="O291" t="s">
        <v>25</v>
      </c>
      <c r="Q291" s="1">
        <v>43852</v>
      </c>
    </row>
    <row r="292" spans="1:17" x14ac:dyDescent="0.5">
      <c r="A292" t="s">
        <v>120</v>
      </c>
      <c r="B292">
        <v>9.9000011190100001E+19</v>
      </c>
      <c r="C292" t="s">
        <v>19</v>
      </c>
      <c r="D292" s="1">
        <v>43675</v>
      </c>
      <c r="E292" s="1">
        <v>44040</v>
      </c>
      <c r="F292" t="s">
        <v>32</v>
      </c>
      <c r="G292">
        <v>2</v>
      </c>
      <c r="H292" t="s">
        <v>27</v>
      </c>
      <c r="I292" t="s">
        <v>22</v>
      </c>
      <c r="J292" t="s">
        <v>61</v>
      </c>
      <c r="K292" t="s">
        <v>28</v>
      </c>
      <c r="L292">
        <v>84590.55</v>
      </c>
      <c r="M292" s="1">
        <v>43675</v>
      </c>
      <c r="N292" t="s">
        <v>24</v>
      </c>
      <c r="O292" t="s">
        <v>25</v>
      </c>
      <c r="Q292" s="1">
        <v>43852</v>
      </c>
    </row>
    <row r="293" spans="1:17" x14ac:dyDescent="0.5">
      <c r="A293" t="s">
        <v>122</v>
      </c>
      <c r="B293">
        <v>9.9000046190100005E+19</v>
      </c>
      <c r="C293" t="s">
        <v>19</v>
      </c>
      <c r="D293" s="1">
        <v>43675</v>
      </c>
      <c r="E293" s="1">
        <v>44040</v>
      </c>
      <c r="F293" t="s">
        <v>36</v>
      </c>
      <c r="G293">
        <v>2</v>
      </c>
      <c r="H293" t="s">
        <v>27</v>
      </c>
      <c r="I293" t="s">
        <v>22</v>
      </c>
      <c r="J293" t="s">
        <v>61</v>
      </c>
      <c r="K293" t="s">
        <v>28</v>
      </c>
      <c r="L293">
        <v>10547.63</v>
      </c>
      <c r="M293" s="1">
        <v>43675</v>
      </c>
      <c r="N293" t="s">
        <v>24</v>
      </c>
      <c r="O293" t="s">
        <v>25</v>
      </c>
      <c r="Q293" s="1">
        <v>43852</v>
      </c>
    </row>
    <row r="294" spans="1:17" x14ac:dyDescent="0.5">
      <c r="A294" t="s">
        <v>124</v>
      </c>
      <c r="B294">
        <v>14055133</v>
      </c>
      <c r="C294" t="s">
        <v>19</v>
      </c>
      <c r="D294" s="1">
        <v>43672</v>
      </c>
      <c r="E294" s="1">
        <v>44037</v>
      </c>
      <c r="F294" t="s">
        <v>37</v>
      </c>
      <c r="G294">
        <v>2</v>
      </c>
      <c r="H294" t="s">
        <v>27</v>
      </c>
      <c r="I294" t="s">
        <v>22</v>
      </c>
      <c r="J294" t="s">
        <v>37</v>
      </c>
      <c r="K294" t="s">
        <v>66</v>
      </c>
      <c r="L294">
        <v>63000</v>
      </c>
      <c r="M294" s="1">
        <v>43672</v>
      </c>
      <c r="N294" t="s">
        <v>24</v>
      </c>
      <c r="O294" t="s">
        <v>25</v>
      </c>
      <c r="Q294" s="1">
        <v>43852</v>
      </c>
    </row>
    <row r="295" spans="1:17" x14ac:dyDescent="0.5">
      <c r="A295" t="s">
        <v>126</v>
      </c>
      <c r="B295">
        <v>2000010048</v>
      </c>
      <c r="C295" t="s">
        <v>31</v>
      </c>
      <c r="D295" s="1">
        <v>43309</v>
      </c>
      <c r="E295" s="1">
        <v>43673</v>
      </c>
      <c r="F295" t="s">
        <v>36</v>
      </c>
      <c r="G295">
        <v>8</v>
      </c>
      <c r="H295" t="s">
        <v>316</v>
      </c>
      <c r="I295" t="s">
        <v>22</v>
      </c>
      <c r="J295" t="s">
        <v>144</v>
      </c>
      <c r="K295" t="s">
        <v>23</v>
      </c>
      <c r="L295">
        <v>121875</v>
      </c>
      <c r="M295" s="1">
        <v>43309</v>
      </c>
      <c r="N295" t="s">
        <v>24</v>
      </c>
      <c r="O295" t="s">
        <v>45</v>
      </c>
      <c r="Q295" s="1">
        <v>43852</v>
      </c>
    </row>
    <row r="296" spans="1:17" x14ac:dyDescent="0.5">
      <c r="A296" t="s">
        <v>128</v>
      </c>
      <c r="B296">
        <v>2000010048</v>
      </c>
      <c r="C296" t="s">
        <v>31</v>
      </c>
      <c r="D296" s="1">
        <v>43309</v>
      </c>
      <c r="E296" s="1">
        <v>43673</v>
      </c>
      <c r="F296" t="s">
        <v>36</v>
      </c>
      <c r="G296">
        <v>8</v>
      </c>
      <c r="H296" t="s">
        <v>316</v>
      </c>
      <c r="I296" t="s">
        <v>22</v>
      </c>
      <c r="J296" t="s">
        <v>144</v>
      </c>
      <c r="K296" t="s">
        <v>23</v>
      </c>
      <c r="L296">
        <v>8174.5</v>
      </c>
      <c r="M296" s="1">
        <v>43664</v>
      </c>
      <c r="N296" t="s">
        <v>47</v>
      </c>
      <c r="O296" t="s">
        <v>45</v>
      </c>
      <c r="Q296" s="1">
        <v>43852</v>
      </c>
    </row>
    <row r="297" spans="1:17" x14ac:dyDescent="0.5">
      <c r="A297" t="s">
        <v>130</v>
      </c>
      <c r="B297">
        <v>2000010048</v>
      </c>
      <c r="C297" t="s">
        <v>19</v>
      </c>
      <c r="D297" s="1">
        <v>43674</v>
      </c>
      <c r="E297" s="1">
        <v>44039</v>
      </c>
      <c r="F297" t="s">
        <v>36</v>
      </c>
      <c r="G297">
        <v>4</v>
      </c>
      <c r="H297" t="s">
        <v>317</v>
      </c>
      <c r="I297" t="s">
        <v>22</v>
      </c>
      <c r="J297" t="s">
        <v>144</v>
      </c>
      <c r="K297" t="s">
        <v>23</v>
      </c>
      <c r="L297">
        <v>115781.25</v>
      </c>
      <c r="M297" s="1">
        <v>43674</v>
      </c>
      <c r="N297" t="s">
        <v>24</v>
      </c>
      <c r="O297" t="s">
        <v>23</v>
      </c>
      <c r="Q297" s="1">
        <v>43852</v>
      </c>
    </row>
    <row r="298" spans="1:17" x14ac:dyDescent="0.5">
      <c r="A298" t="s">
        <v>132</v>
      </c>
      <c r="B298">
        <v>304001925</v>
      </c>
      <c r="C298" t="s">
        <v>31</v>
      </c>
      <c r="D298" s="1">
        <v>43191</v>
      </c>
      <c r="E298" s="1">
        <v>43555</v>
      </c>
      <c r="F298" t="s">
        <v>37</v>
      </c>
      <c r="G298">
        <v>3</v>
      </c>
      <c r="H298" t="s">
        <v>64</v>
      </c>
      <c r="I298" t="s">
        <v>22</v>
      </c>
      <c r="J298" t="s">
        <v>65</v>
      </c>
      <c r="K298" t="s">
        <v>23</v>
      </c>
      <c r="L298">
        <v>318411.5</v>
      </c>
      <c r="M298" s="1">
        <v>43555</v>
      </c>
      <c r="N298" t="s">
        <v>24</v>
      </c>
      <c r="O298" t="s">
        <v>25</v>
      </c>
      <c r="Q298" s="1">
        <v>43852</v>
      </c>
    </row>
    <row r="299" spans="1:17" x14ac:dyDescent="0.5">
      <c r="A299" t="s">
        <v>135</v>
      </c>
      <c r="B299">
        <v>304003763</v>
      </c>
      <c r="C299" t="s">
        <v>19</v>
      </c>
      <c r="D299" s="1">
        <v>43556</v>
      </c>
      <c r="E299" s="1">
        <v>43921</v>
      </c>
      <c r="F299" t="s">
        <v>37</v>
      </c>
      <c r="G299">
        <v>3</v>
      </c>
      <c r="H299" t="s">
        <v>64</v>
      </c>
      <c r="I299" t="s">
        <v>22</v>
      </c>
      <c r="J299" t="s">
        <v>65</v>
      </c>
      <c r="K299" t="s">
        <v>23</v>
      </c>
      <c r="L299">
        <v>344794.13</v>
      </c>
      <c r="M299" s="1">
        <v>43556</v>
      </c>
      <c r="N299" t="s">
        <v>24</v>
      </c>
      <c r="O299" t="s">
        <v>23</v>
      </c>
      <c r="Q299" s="1">
        <v>43852</v>
      </c>
    </row>
    <row r="300" spans="1:17" x14ac:dyDescent="0.5">
      <c r="A300" t="s">
        <v>136</v>
      </c>
      <c r="B300" t="s">
        <v>318</v>
      </c>
      <c r="C300" t="s">
        <v>19</v>
      </c>
      <c r="D300" s="1">
        <v>43291</v>
      </c>
      <c r="E300" s="1">
        <v>43655</v>
      </c>
      <c r="F300" t="s">
        <v>36</v>
      </c>
      <c r="G300">
        <v>3</v>
      </c>
      <c r="H300" t="s">
        <v>64</v>
      </c>
      <c r="I300" t="s">
        <v>22</v>
      </c>
      <c r="J300" t="s">
        <v>65</v>
      </c>
      <c r="K300" t="s">
        <v>23</v>
      </c>
      <c r="L300">
        <v>140949.5</v>
      </c>
      <c r="M300" s="1">
        <v>43291</v>
      </c>
      <c r="N300" t="s">
        <v>24</v>
      </c>
      <c r="O300" t="s">
        <v>25</v>
      </c>
      <c r="Q300" s="1">
        <v>43852</v>
      </c>
    </row>
    <row r="301" spans="1:17" x14ac:dyDescent="0.5">
      <c r="A301" t="s">
        <v>139</v>
      </c>
      <c r="B301" t="s">
        <v>319</v>
      </c>
      <c r="C301" t="s">
        <v>31</v>
      </c>
      <c r="D301" s="1">
        <v>43101</v>
      </c>
      <c r="E301" s="1">
        <v>43465</v>
      </c>
      <c r="F301" t="s">
        <v>32</v>
      </c>
      <c r="G301">
        <v>3</v>
      </c>
      <c r="H301" t="s">
        <v>64</v>
      </c>
      <c r="I301" t="s">
        <v>22</v>
      </c>
      <c r="J301" t="s">
        <v>65</v>
      </c>
      <c r="K301" t="s">
        <v>23</v>
      </c>
      <c r="L301">
        <v>460832.14</v>
      </c>
      <c r="M301" s="1">
        <v>43101</v>
      </c>
      <c r="N301" t="s">
        <v>24</v>
      </c>
      <c r="O301" t="s">
        <v>25</v>
      </c>
      <c r="Q301" s="1">
        <v>43852</v>
      </c>
    </row>
    <row r="302" spans="1:17" x14ac:dyDescent="0.5">
      <c r="A302" t="s">
        <v>141</v>
      </c>
      <c r="B302" t="s">
        <v>320</v>
      </c>
      <c r="C302" t="s">
        <v>19</v>
      </c>
      <c r="D302" s="1">
        <v>43466</v>
      </c>
      <c r="E302" s="1">
        <v>43555</v>
      </c>
      <c r="F302" t="s">
        <v>32</v>
      </c>
      <c r="G302">
        <v>3</v>
      </c>
      <c r="H302" t="s">
        <v>64</v>
      </c>
      <c r="I302" t="s">
        <v>22</v>
      </c>
      <c r="J302" t="s">
        <v>65</v>
      </c>
      <c r="K302" t="s">
        <v>23</v>
      </c>
      <c r="L302">
        <v>257590.8</v>
      </c>
      <c r="M302" s="1">
        <v>43466</v>
      </c>
      <c r="N302" t="s">
        <v>24</v>
      </c>
      <c r="O302" t="s">
        <v>45</v>
      </c>
      <c r="Q302" s="1">
        <v>43852</v>
      </c>
    </row>
    <row r="303" spans="1:17" x14ac:dyDescent="0.5">
      <c r="A303" t="s">
        <v>143</v>
      </c>
      <c r="B303" t="s">
        <v>320</v>
      </c>
      <c r="C303" t="s">
        <v>19</v>
      </c>
      <c r="D303" s="1">
        <v>43466</v>
      </c>
      <c r="E303" s="1">
        <v>43555</v>
      </c>
      <c r="F303" t="s">
        <v>32</v>
      </c>
      <c r="G303">
        <v>3</v>
      </c>
      <c r="H303" t="s">
        <v>64</v>
      </c>
      <c r="I303" t="s">
        <v>22</v>
      </c>
      <c r="J303" t="s">
        <v>65</v>
      </c>
      <c r="K303" t="s">
        <v>23</v>
      </c>
      <c r="L303">
        <v>-98802.02</v>
      </c>
      <c r="M303" s="1">
        <v>43466</v>
      </c>
      <c r="N303" t="s">
        <v>47</v>
      </c>
      <c r="O303" t="s">
        <v>45</v>
      </c>
      <c r="Q303" s="1">
        <v>43852</v>
      </c>
    </row>
    <row r="304" spans="1:17" x14ac:dyDescent="0.5">
      <c r="A304" t="s">
        <v>145</v>
      </c>
      <c r="B304">
        <v>11988092</v>
      </c>
      <c r="C304" t="s">
        <v>19</v>
      </c>
      <c r="D304" s="1">
        <v>43138</v>
      </c>
      <c r="E304" s="1">
        <v>43143</v>
      </c>
      <c r="F304" t="s">
        <v>36</v>
      </c>
      <c r="G304">
        <v>3</v>
      </c>
      <c r="H304" t="s">
        <v>64</v>
      </c>
      <c r="I304" t="s">
        <v>22</v>
      </c>
      <c r="J304" t="s">
        <v>65</v>
      </c>
      <c r="K304" t="s">
        <v>66</v>
      </c>
      <c r="L304">
        <v>338.55</v>
      </c>
      <c r="M304" s="1">
        <v>43138</v>
      </c>
      <c r="N304" t="s">
        <v>24</v>
      </c>
      <c r="O304" t="s">
        <v>25</v>
      </c>
      <c r="Q304" s="1">
        <v>43852</v>
      </c>
    </row>
    <row r="305" spans="1:17" x14ac:dyDescent="0.5">
      <c r="A305" t="s">
        <v>147</v>
      </c>
      <c r="B305">
        <v>2304001082</v>
      </c>
      <c r="C305" t="s">
        <v>31</v>
      </c>
      <c r="D305" s="1">
        <v>43191</v>
      </c>
      <c r="E305" s="1">
        <v>43555</v>
      </c>
      <c r="F305" t="s">
        <v>37</v>
      </c>
      <c r="G305">
        <v>3</v>
      </c>
      <c r="H305" t="s">
        <v>64</v>
      </c>
      <c r="I305" t="s">
        <v>22</v>
      </c>
      <c r="J305" t="s">
        <v>65</v>
      </c>
      <c r="K305" t="s">
        <v>23</v>
      </c>
      <c r="L305">
        <v>40625</v>
      </c>
      <c r="M305" s="1">
        <v>43555</v>
      </c>
      <c r="N305" t="s">
        <v>24</v>
      </c>
      <c r="O305" t="s">
        <v>25</v>
      </c>
      <c r="Q305" s="1">
        <v>43852</v>
      </c>
    </row>
    <row r="306" spans="1:17" x14ac:dyDescent="0.5">
      <c r="A306" t="s">
        <v>149</v>
      </c>
      <c r="B306" t="s">
        <v>321</v>
      </c>
      <c r="C306" t="s">
        <v>19</v>
      </c>
      <c r="D306" s="1">
        <v>43556</v>
      </c>
      <c r="E306" s="1">
        <v>43921</v>
      </c>
      <c r="F306" t="s">
        <v>37</v>
      </c>
      <c r="G306">
        <v>3</v>
      </c>
      <c r="H306" t="s">
        <v>64</v>
      </c>
      <c r="I306" t="s">
        <v>22</v>
      </c>
      <c r="J306" t="s">
        <v>65</v>
      </c>
      <c r="K306" t="s">
        <v>23</v>
      </c>
      <c r="L306">
        <v>37500</v>
      </c>
      <c r="M306" s="1">
        <v>43556</v>
      </c>
      <c r="N306" t="s">
        <v>24</v>
      </c>
      <c r="O306" t="s">
        <v>23</v>
      </c>
      <c r="Q306" s="1">
        <v>43852</v>
      </c>
    </row>
    <row r="307" spans="1:17" x14ac:dyDescent="0.5">
      <c r="A307" t="s">
        <v>151</v>
      </c>
      <c r="B307">
        <v>2.4142020928135997E+18</v>
      </c>
      <c r="C307" t="s">
        <v>31</v>
      </c>
      <c r="D307" s="1">
        <v>43101</v>
      </c>
      <c r="E307" s="1">
        <v>43465</v>
      </c>
      <c r="F307" t="s">
        <v>20</v>
      </c>
      <c r="G307">
        <v>3</v>
      </c>
      <c r="H307" t="s">
        <v>64</v>
      </c>
      <c r="I307" t="s">
        <v>22</v>
      </c>
      <c r="J307" t="s">
        <v>65</v>
      </c>
      <c r="K307" t="s">
        <v>23</v>
      </c>
      <c r="L307">
        <v>55361.599999999999</v>
      </c>
      <c r="M307" s="1">
        <v>43101</v>
      </c>
      <c r="N307" t="s">
        <v>24</v>
      </c>
      <c r="O307" t="s">
        <v>25</v>
      </c>
      <c r="Q307" s="1">
        <v>43852</v>
      </c>
    </row>
    <row r="308" spans="1:17" x14ac:dyDescent="0.5">
      <c r="A308" t="s">
        <v>153</v>
      </c>
      <c r="B308">
        <v>2.4142020928135997E+18</v>
      </c>
      <c r="C308" t="s">
        <v>31</v>
      </c>
      <c r="D308" s="1">
        <v>43466</v>
      </c>
      <c r="E308" s="1">
        <v>43830</v>
      </c>
      <c r="F308" t="s">
        <v>20</v>
      </c>
      <c r="G308">
        <v>3</v>
      </c>
      <c r="H308" t="s">
        <v>64</v>
      </c>
      <c r="I308" t="s">
        <v>22</v>
      </c>
      <c r="J308" t="s">
        <v>65</v>
      </c>
      <c r="K308" t="s">
        <v>23</v>
      </c>
      <c r="L308">
        <v>86723.5</v>
      </c>
      <c r="M308" s="1">
        <v>43466</v>
      </c>
      <c r="N308" t="s">
        <v>24</v>
      </c>
      <c r="O308" t="s">
        <v>23</v>
      </c>
      <c r="Q308" s="1">
        <v>43852</v>
      </c>
    </row>
    <row r="309" spans="1:17" x14ac:dyDescent="0.5">
      <c r="A309" t="s">
        <v>155</v>
      </c>
      <c r="B309">
        <v>2.4142020928135997E+18</v>
      </c>
      <c r="C309" t="s">
        <v>19</v>
      </c>
      <c r="D309" s="1">
        <v>43831</v>
      </c>
      <c r="E309" s="1">
        <v>43921</v>
      </c>
      <c r="F309" t="s">
        <v>20</v>
      </c>
      <c r="G309">
        <v>3</v>
      </c>
      <c r="H309" t="s">
        <v>64</v>
      </c>
      <c r="I309" t="s">
        <v>22</v>
      </c>
      <c r="J309" t="s">
        <v>65</v>
      </c>
      <c r="K309" t="s">
        <v>23</v>
      </c>
      <c r="L309">
        <v>21680.799999999999</v>
      </c>
      <c r="M309" s="1">
        <v>43831</v>
      </c>
      <c r="N309" t="s">
        <v>24</v>
      </c>
      <c r="O309" t="s">
        <v>23</v>
      </c>
      <c r="Q309" s="1">
        <v>43852</v>
      </c>
    </row>
    <row r="310" spans="1:17" x14ac:dyDescent="0.5">
      <c r="A310" t="s">
        <v>157</v>
      </c>
      <c r="B310" t="s">
        <v>322</v>
      </c>
      <c r="C310" t="s">
        <v>19</v>
      </c>
      <c r="D310" s="1">
        <v>43301</v>
      </c>
      <c r="E310" s="1">
        <v>43392</v>
      </c>
      <c r="F310" t="s">
        <v>202</v>
      </c>
      <c r="G310">
        <v>3</v>
      </c>
      <c r="H310" t="s">
        <v>64</v>
      </c>
      <c r="I310" t="s">
        <v>22</v>
      </c>
      <c r="J310" t="s">
        <v>65</v>
      </c>
      <c r="K310" t="s">
        <v>66</v>
      </c>
      <c r="L310">
        <v>17419.13</v>
      </c>
      <c r="M310" s="1">
        <v>43301</v>
      </c>
      <c r="N310" t="s">
        <v>24</v>
      </c>
      <c r="O310" t="s">
        <v>25</v>
      </c>
      <c r="Q310" s="1">
        <v>43852</v>
      </c>
    </row>
    <row r="311" spans="1:17" x14ac:dyDescent="0.5">
      <c r="A311" t="s">
        <v>159</v>
      </c>
      <c r="B311" t="s">
        <v>323</v>
      </c>
      <c r="C311" t="s">
        <v>19</v>
      </c>
      <c r="D311" s="1">
        <v>43348</v>
      </c>
      <c r="E311" s="1">
        <v>43438</v>
      </c>
      <c r="F311" t="s">
        <v>202</v>
      </c>
      <c r="G311">
        <v>3</v>
      </c>
      <c r="H311" t="s">
        <v>64</v>
      </c>
      <c r="I311" t="s">
        <v>22</v>
      </c>
      <c r="J311" t="s">
        <v>65</v>
      </c>
      <c r="K311" t="s">
        <v>66</v>
      </c>
      <c r="L311">
        <v>5165.63</v>
      </c>
      <c r="M311" s="1">
        <v>43348</v>
      </c>
      <c r="N311" t="s">
        <v>24</v>
      </c>
      <c r="O311" t="s">
        <v>25</v>
      </c>
      <c r="Q311" s="1">
        <v>43852</v>
      </c>
    </row>
    <row r="312" spans="1:17" x14ac:dyDescent="0.5">
      <c r="A312" t="s">
        <v>161</v>
      </c>
      <c r="B312" t="s">
        <v>324</v>
      </c>
      <c r="C312" t="s">
        <v>19</v>
      </c>
      <c r="D312" s="1">
        <v>43608</v>
      </c>
      <c r="E312" s="1">
        <v>43921</v>
      </c>
      <c r="F312" t="s">
        <v>202</v>
      </c>
      <c r="G312">
        <v>3</v>
      </c>
      <c r="H312" t="s">
        <v>64</v>
      </c>
      <c r="I312" t="s">
        <v>22</v>
      </c>
      <c r="J312" t="s">
        <v>65</v>
      </c>
      <c r="K312" t="s">
        <v>66</v>
      </c>
      <c r="L312">
        <v>9990.15</v>
      </c>
      <c r="M312" s="1">
        <v>43608</v>
      </c>
      <c r="N312" t="s">
        <v>24</v>
      </c>
      <c r="O312" t="s">
        <v>25</v>
      </c>
      <c r="Q312" s="1">
        <v>43852</v>
      </c>
    </row>
    <row r="313" spans="1:17" x14ac:dyDescent="0.5">
      <c r="A313" t="s">
        <v>163</v>
      </c>
      <c r="B313">
        <v>2640011190</v>
      </c>
      <c r="C313" t="s">
        <v>19</v>
      </c>
      <c r="D313" s="1">
        <v>43262</v>
      </c>
      <c r="E313" s="1">
        <v>43353</v>
      </c>
      <c r="F313" t="s">
        <v>202</v>
      </c>
      <c r="G313">
        <v>3</v>
      </c>
      <c r="H313" t="s">
        <v>64</v>
      </c>
      <c r="I313" t="s">
        <v>22</v>
      </c>
      <c r="J313" t="s">
        <v>65</v>
      </c>
      <c r="K313" t="s">
        <v>66</v>
      </c>
      <c r="L313">
        <v>10625</v>
      </c>
      <c r="M313" s="1">
        <v>43262</v>
      </c>
      <c r="N313" t="s">
        <v>24</v>
      </c>
      <c r="O313" t="s">
        <v>25</v>
      </c>
      <c r="Q313" s="1">
        <v>43852</v>
      </c>
    </row>
    <row r="314" spans="1:17" x14ac:dyDescent="0.5">
      <c r="A314" t="s">
        <v>165</v>
      </c>
      <c r="B314">
        <v>3.1142011248201999E+18</v>
      </c>
      <c r="C314" t="s">
        <v>31</v>
      </c>
      <c r="D314" s="1">
        <v>42917</v>
      </c>
      <c r="E314" s="1">
        <v>43281</v>
      </c>
      <c r="F314" t="s">
        <v>36</v>
      </c>
      <c r="G314">
        <v>3</v>
      </c>
      <c r="H314" t="s">
        <v>64</v>
      </c>
      <c r="I314" t="s">
        <v>22</v>
      </c>
      <c r="J314" t="s">
        <v>65</v>
      </c>
      <c r="K314" t="s">
        <v>23</v>
      </c>
      <c r="L314">
        <v>14399.88</v>
      </c>
      <c r="M314" s="1">
        <v>42917</v>
      </c>
      <c r="N314" t="s">
        <v>24</v>
      </c>
      <c r="O314" t="s">
        <v>25</v>
      </c>
      <c r="Q314" s="1">
        <v>43852</v>
      </c>
    </row>
    <row r="315" spans="1:17" x14ac:dyDescent="0.5">
      <c r="A315" t="s">
        <v>167</v>
      </c>
      <c r="B315">
        <v>3.1142011248201999E+18</v>
      </c>
      <c r="C315" t="s">
        <v>19</v>
      </c>
      <c r="D315" s="1">
        <v>43647</v>
      </c>
      <c r="E315" s="1">
        <v>44012</v>
      </c>
      <c r="F315" t="s">
        <v>36</v>
      </c>
      <c r="G315">
        <v>3</v>
      </c>
      <c r="H315" t="s">
        <v>64</v>
      </c>
      <c r="I315" t="s">
        <v>22</v>
      </c>
      <c r="J315" t="s">
        <v>65</v>
      </c>
      <c r="K315" t="s">
        <v>23</v>
      </c>
      <c r="L315">
        <v>20165.5</v>
      </c>
      <c r="M315" s="1">
        <v>43647</v>
      </c>
      <c r="N315" t="s">
        <v>24</v>
      </c>
      <c r="O315" t="s">
        <v>23</v>
      </c>
      <c r="Q315" s="1">
        <v>43852</v>
      </c>
    </row>
    <row r="316" spans="1:17" x14ac:dyDescent="0.5">
      <c r="A316" t="s">
        <v>169</v>
      </c>
      <c r="B316">
        <v>32119154</v>
      </c>
      <c r="C316" t="s">
        <v>19</v>
      </c>
      <c r="D316" s="1">
        <v>43556</v>
      </c>
      <c r="E316" s="1">
        <v>43616</v>
      </c>
      <c r="F316" t="s">
        <v>202</v>
      </c>
      <c r="G316">
        <v>3</v>
      </c>
      <c r="H316" t="s">
        <v>64</v>
      </c>
      <c r="I316" t="s">
        <v>22</v>
      </c>
      <c r="J316" t="s">
        <v>65</v>
      </c>
      <c r="K316" t="s">
        <v>66</v>
      </c>
      <c r="L316">
        <v>11593.27</v>
      </c>
      <c r="M316" s="1">
        <v>43556</v>
      </c>
      <c r="N316" t="s">
        <v>24</v>
      </c>
      <c r="O316" t="s">
        <v>25</v>
      </c>
      <c r="Q316" s="1">
        <v>43852</v>
      </c>
    </row>
    <row r="317" spans="1:17" x14ac:dyDescent="0.5">
      <c r="A317" t="s">
        <v>171</v>
      </c>
      <c r="B317" t="s">
        <v>325</v>
      </c>
      <c r="C317" t="s">
        <v>31</v>
      </c>
      <c r="D317" s="1">
        <v>43221</v>
      </c>
      <c r="E317" s="1">
        <v>43585</v>
      </c>
      <c r="F317" t="s">
        <v>36</v>
      </c>
      <c r="G317">
        <v>3</v>
      </c>
      <c r="H317" t="s">
        <v>64</v>
      </c>
      <c r="I317" t="s">
        <v>22</v>
      </c>
      <c r="J317" t="s">
        <v>65</v>
      </c>
      <c r="K317" t="s">
        <v>23</v>
      </c>
      <c r="L317">
        <v>1185.9000000000001</v>
      </c>
      <c r="M317" s="1">
        <v>43221</v>
      </c>
      <c r="N317" t="s">
        <v>24</v>
      </c>
      <c r="O317" t="s">
        <v>25</v>
      </c>
      <c r="Q317" s="1">
        <v>43852</v>
      </c>
    </row>
    <row r="318" spans="1:17" x14ac:dyDescent="0.5">
      <c r="A318" t="s">
        <v>173</v>
      </c>
      <c r="B318" t="s">
        <v>326</v>
      </c>
      <c r="C318" t="s">
        <v>19</v>
      </c>
      <c r="D318" s="1">
        <v>43586</v>
      </c>
      <c r="E318" s="1">
        <v>43951</v>
      </c>
      <c r="F318" t="s">
        <v>36</v>
      </c>
      <c r="G318">
        <v>3</v>
      </c>
      <c r="H318" t="s">
        <v>64</v>
      </c>
      <c r="I318" t="s">
        <v>22</v>
      </c>
      <c r="J318" t="s">
        <v>65</v>
      </c>
      <c r="K318" t="s">
        <v>23</v>
      </c>
      <c r="L318">
        <v>1005</v>
      </c>
      <c r="M318" s="1">
        <v>43586</v>
      </c>
      <c r="N318" t="s">
        <v>24</v>
      </c>
      <c r="O318" t="s">
        <v>23</v>
      </c>
      <c r="Q318" s="1">
        <v>43852</v>
      </c>
    </row>
    <row r="319" spans="1:17" x14ac:dyDescent="0.5">
      <c r="A319" t="s">
        <v>175</v>
      </c>
      <c r="B319" t="s">
        <v>327</v>
      </c>
      <c r="C319" t="s">
        <v>31</v>
      </c>
      <c r="D319" s="1">
        <v>43006</v>
      </c>
      <c r="E319" s="1">
        <v>43370</v>
      </c>
      <c r="F319" t="s">
        <v>36</v>
      </c>
      <c r="G319">
        <v>3</v>
      </c>
      <c r="H319" t="s">
        <v>64</v>
      </c>
      <c r="I319" t="s">
        <v>22</v>
      </c>
      <c r="J319" t="s">
        <v>65</v>
      </c>
      <c r="K319" t="s">
        <v>23</v>
      </c>
      <c r="L319">
        <v>1050.3800000000001</v>
      </c>
      <c r="M319" s="1">
        <v>43006</v>
      </c>
      <c r="N319" t="s">
        <v>24</v>
      </c>
      <c r="O319" t="s">
        <v>25</v>
      </c>
      <c r="Q319" s="1">
        <v>43852</v>
      </c>
    </row>
    <row r="320" spans="1:17" x14ac:dyDescent="0.5">
      <c r="A320" t="s">
        <v>177</v>
      </c>
      <c r="B320" t="s">
        <v>328</v>
      </c>
      <c r="C320" t="s">
        <v>19</v>
      </c>
      <c r="D320" s="1">
        <v>43371</v>
      </c>
      <c r="E320" s="1">
        <v>43735</v>
      </c>
      <c r="F320" t="s">
        <v>36</v>
      </c>
      <c r="G320">
        <v>3</v>
      </c>
      <c r="H320" t="s">
        <v>64</v>
      </c>
      <c r="I320" t="s">
        <v>22</v>
      </c>
      <c r="J320" t="s">
        <v>65</v>
      </c>
      <c r="K320" t="s">
        <v>23</v>
      </c>
      <c r="L320">
        <v>6250</v>
      </c>
      <c r="M320" s="1">
        <v>43371</v>
      </c>
      <c r="N320" t="s">
        <v>24</v>
      </c>
      <c r="O320" t="s">
        <v>45</v>
      </c>
      <c r="Q320" s="1">
        <v>43852</v>
      </c>
    </row>
    <row r="321" spans="1:17" x14ac:dyDescent="0.5">
      <c r="A321" t="s">
        <v>178</v>
      </c>
      <c r="B321" t="s">
        <v>328</v>
      </c>
      <c r="C321" t="s">
        <v>19</v>
      </c>
      <c r="D321" s="1">
        <v>43371</v>
      </c>
      <c r="E321" s="1">
        <v>43735</v>
      </c>
      <c r="F321" t="s">
        <v>36</v>
      </c>
      <c r="G321">
        <v>3</v>
      </c>
      <c r="H321" t="s">
        <v>64</v>
      </c>
      <c r="I321" t="s">
        <v>22</v>
      </c>
      <c r="J321" t="s">
        <v>65</v>
      </c>
      <c r="K321" t="s">
        <v>23</v>
      </c>
      <c r="M321" s="1">
        <v>43402</v>
      </c>
      <c r="N321" t="s">
        <v>47</v>
      </c>
      <c r="O321" t="s">
        <v>45</v>
      </c>
      <c r="Q321" s="1">
        <v>43852</v>
      </c>
    </row>
    <row r="322" spans="1:17" x14ac:dyDescent="0.5">
      <c r="A322" t="s">
        <v>179</v>
      </c>
      <c r="B322" t="s">
        <v>329</v>
      </c>
      <c r="C322" t="s">
        <v>31</v>
      </c>
      <c r="D322" s="1">
        <v>43371</v>
      </c>
      <c r="E322" s="1">
        <v>43735</v>
      </c>
      <c r="F322" t="s">
        <v>36</v>
      </c>
      <c r="G322">
        <v>3</v>
      </c>
      <c r="H322" t="s">
        <v>64</v>
      </c>
      <c r="I322" t="s">
        <v>22</v>
      </c>
      <c r="J322" t="s">
        <v>65</v>
      </c>
      <c r="K322" t="s">
        <v>23</v>
      </c>
      <c r="L322">
        <v>6250</v>
      </c>
      <c r="M322" s="1">
        <v>43371</v>
      </c>
      <c r="N322" t="s">
        <v>24</v>
      </c>
      <c r="O322" t="s">
        <v>23</v>
      </c>
      <c r="Q322" s="1">
        <v>43852</v>
      </c>
    </row>
    <row r="323" spans="1:17" x14ac:dyDescent="0.5">
      <c r="A323" t="s">
        <v>180</v>
      </c>
      <c r="B323" t="s">
        <v>330</v>
      </c>
      <c r="C323" t="s">
        <v>19</v>
      </c>
      <c r="D323" s="1">
        <v>43736</v>
      </c>
      <c r="E323" s="1">
        <v>44101</v>
      </c>
      <c r="F323" t="s">
        <v>36</v>
      </c>
      <c r="G323">
        <v>3</v>
      </c>
      <c r="H323" t="s">
        <v>64</v>
      </c>
      <c r="I323" t="s">
        <v>22</v>
      </c>
      <c r="J323" t="s">
        <v>65</v>
      </c>
      <c r="K323" t="s">
        <v>23</v>
      </c>
      <c r="L323">
        <v>18814.25</v>
      </c>
      <c r="M323" s="1">
        <v>43736</v>
      </c>
      <c r="N323" t="s">
        <v>24</v>
      </c>
      <c r="O323" t="s">
        <v>23</v>
      </c>
      <c r="Q323" s="1">
        <v>43852</v>
      </c>
    </row>
    <row r="324" spans="1:17" x14ac:dyDescent="0.5">
      <c r="A324" t="s">
        <v>181</v>
      </c>
      <c r="B324" t="s">
        <v>331</v>
      </c>
      <c r="C324" t="s">
        <v>31</v>
      </c>
      <c r="D324" s="1">
        <v>43199</v>
      </c>
      <c r="E324" s="1">
        <v>43548</v>
      </c>
      <c r="F324" t="s">
        <v>37</v>
      </c>
      <c r="G324">
        <v>3</v>
      </c>
      <c r="H324" t="s">
        <v>64</v>
      </c>
      <c r="I324" t="s">
        <v>22</v>
      </c>
      <c r="J324" t="s">
        <v>65</v>
      </c>
      <c r="K324" t="s">
        <v>23</v>
      </c>
      <c r="L324">
        <v>200659.63</v>
      </c>
      <c r="M324" s="1">
        <v>43555</v>
      </c>
      <c r="N324" t="s">
        <v>24</v>
      </c>
      <c r="O324" t="s">
        <v>25</v>
      </c>
      <c r="Q324" s="1">
        <v>43852</v>
      </c>
    </row>
    <row r="325" spans="1:17" x14ac:dyDescent="0.5">
      <c r="A325" t="s">
        <v>183</v>
      </c>
      <c r="B325" t="s">
        <v>332</v>
      </c>
      <c r="C325" t="s">
        <v>19</v>
      </c>
      <c r="D325" s="1">
        <v>43556</v>
      </c>
      <c r="E325" s="1">
        <v>43921</v>
      </c>
      <c r="F325" t="s">
        <v>37</v>
      </c>
      <c r="G325">
        <v>3</v>
      </c>
      <c r="H325" t="s">
        <v>64</v>
      </c>
      <c r="I325" t="s">
        <v>22</v>
      </c>
      <c r="J325" t="s">
        <v>65</v>
      </c>
      <c r="K325" t="s">
        <v>23</v>
      </c>
      <c r="L325">
        <v>215165</v>
      </c>
      <c r="M325" s="1">
        <v>43556</v>
      </c>
      <c r="N325" t="s">
        <v>24</v>
      </c>
      <c r="O325" t="s">
        <v>23</v>
      </c>
      <c r="Q325" s="1">
        <v>43852</v>
      </c>
    </row>
    <row r="326" spans="1:17" x14ac:dyDescent="0.5">
      <c r="A326" t="s">
        <v>184</v>
      </c>
      <c r="B326">
        <v>44180169</v>
      </c>
      <c r="C326" t="s">
        <v>19</v>
      </c>
      <c r="D326" s="1">
        <v>43119</v>
      </c>
      <c r="E326" s="1">
        <v>43483</v>
      </c>
      <c r="F326" t="s">
        <v>36</v>
      </c>
      <c r="G326">
        <v>3</v>
      </c>
      <c r="H326" t="s">
        <v>64</v>
      </c>
      <c r="I326" t="s">
        <v>22</v>
      </c>
      <c r="J326" t="s">
        <v>65</v>
      </c>
      <c r="K326" t="s">
        <v>66</v>
      </c>
      <c r="L326">
        <v>97.35</v>
      </c>
      <c r="M326" s="1">
        <v>43138</v>
      </c>
      <c r="N326" t="s">
        <v>24</v>
      </c>
      <c r="O326" t="s">
        <v>25</v>
      </c>
      <c r="Q326" s="1">
        <v>43852</v>
      </c>
    </row>
    <row r="327" spans="1:17" x14ac:dyDescent="0.5">
      <c r="A327" t="s">
        <v>185</v>
      </c>
      <c r="B327" t="s">
        <v>333</v>
      </c>
      <c r="C327" t="s">
        <v>19</v>
      </c>
      <c r="D327" s="1">
        <v>43585</v>
      </c>
      <c r="E327" s="1">
        <v>43646</v>
      </c>
      <c r="F327" t="s">
        <v>202</v>
      </c>
      <c r="G327">
        <v>3</v>
      </c>
      <c r="H327" t="s">
        <v>64</v>
      </c>
      <c r="I327" t="s">
        <v>22</v>
      </c>
      <c r="J327" t="s">
        <v>65</v>
      </c>
      <c r="K327" t="s">
        <v>66</v>
      </c>
      <c r="L327">
        <v>3854.23</v>
      </c>
      <c r="M327" s="1">
        <v>43585</v>
      </c>
      <c r="N327" t="s">
        <v>24</v>
      </c>
      <c r="O327" t="s">
        <v>25</v>
      </c>
      <c r="Q327" s="1">
        <v>43852</v>
      </c>
    </row>
    <row r="328" spans="1:17" x14ac:dyDescent="0.5">
      <c r="A328" t="s">
        <v>186</v>
      </c>
      <c r="B328" t="s">
        <v>334</v>
      </c>
      <c r="C328" t="s">
        <v>19</v>
      </c>
      <c r="D328" s="1">
        <v>43513</v>
      </c>
      <c r="E328" s="1">
        <v>43518</v>
      </c>
      <c r="F328" t="s">
        <v>20</v>
      </c>
      <c r="G328">
        <v>3</v>
      </c>
      <c r="H328" t="s">
        <v>64</v>
      </c>
      <c r="I328" t="s">
        <v>22</v>
      </c>
      <c r="J328" t="s">
        <v>65</v>
      </c>
      <c r="K328" t="s">
        <v>23</v>
      </c>
      <c r="L328">
        <v>6739.76</v>
      </c>
      <c r="M328" s="1">
        <v>43513</v>
      </c>
      <c r="N328" t="s">
        <v>24</v>
      </c>
      <c r="O328" t="s">
        <v>25</v>
      </c>
      <c r="Q328" s="1">
        <v>43852</v>
      </c>
    </row>
    <row r="329" spans="1:17" x14ac:dyDescent="0.5">
      <c r="A329" t="s">
        <v>188</v>
      </c>
      <c r="B329" t="s">
        <v>335</v>
      </c>
      <c r="C329" t="s">
        <v>19</v>
      </c>
      <c r="D329" s="1">
        <v>43528</v>
      </c>
      <c r="E329" s="1">
        <v>43534</v>
      </c>
      <c r="F329" t="s">
        <v>36</v>
      </c>
      <c r="G329">
        <v>3</v>
      </c>
      <c r="H329" t="s">
        <v>64</v>
      </c>
      <c r="I329" t="s">
        <v>22</v>
      </c>
      <c r="J329" t="s">
        <v>65</v>
      </c>
      <c r="K329" t="s">
        <v>66</v>
      </c>
      <c r="L329">
        <v>6739.76</v>
      </c>
      <c r="M329" s="1">
        <v>43528</v>
      </c>
      <c r="N329" t="s">
        <v>24</v>
      </c>
      <c r="O329" t="s">
        <v>25</v>
      </c>
      <c r="Q329" s="1">
        <v>43852</v>
      </c>
    </row>
    <row r="330" spans="1:17" x14ac:dyDescent="0.5">
      <c r="A330" t="s">
        <v>190</v>
      </c>
      <c r="B330" t="s">
        <v>336</v>
      </c>
      <c r="C330" t="s">
        <v>19</v>
      </c>
      <c r="D330" s="1">
        <v>43514</v>
      </c>
      <c r="E330" s="1">
        <v>43529</v>
      </c>
      <c r="F330" t="s">
        <v>36</v>
      </c>
      <c r="G330">
        <v>3</v>
      </c>
      <c r="H330" t="s">
        <v>64</v>
      </c>
      <c r="I330" t="s">
        <v>22</v>
      </c>
      <c r="J330" t="s">
        <v>65</v>
      </c>
      <c r="K330" t="s">
        <v>66</v>
      </c>
      <c r="L330">
        <v>8468.49</v>
      </c>
      <c r="M330" s="1">
        <v>43514</v>
      </c>
      <c r="N330" t="s">
        <v>24</v>
      </c>
      <c r="O330" t="s">
        <v>25</v>
      </c>
      <c r="Q330" s="1">
        <v>43852</v>
      </c>
    </row>
    <row r="331" spans="1:17" x14ac:dyDescent="0.5">
      <c r="A331" t="s">
        <v>192</v>
      </c>
      <c r="B331" t="s">
        <v>337</v>
      </c>
      <c r="C331" t="s">
        <v>19</v>
      </c>
      <c r="D331" s="1">
        <v>43514</v>
      </c>
      <c r="E331" s="1">
        <v>43529</v>
      </c>
      <c r="F331" t="s">
        <v>36</v>
      </c>
      <c r="G331">
        <v>3</v>
      </c>
      <c r="H331" t="s">
        <v>64</v>
      </c>
      <c r="I331" t="s">
        <v>22</v>
      </c>
      <c r="J331" t="s">
        <v>65</v>
      </c>
      <c r="K331" t="s">
        <v>66</v>
      </c>
      <c r="L331">
        <v>529.13</v>
      </c>
      <c r="M331" s="1">
        <v>43514</v>
      </c>
      <c r="N331" t="s">
        <v>24</v>
      </c>
      <c r="O331" t="s">
        <v>25</v>
      </c>
      <c r="Q331" s="1">
        <v>43852</v>
      </c>
    </row>
    <row r="332" spans="1:17" x14ac:dyDescent="0.5">
      <c r="A332" t="s">
        <v>193</v>
      </c>
      <c r="B332" t="s">
        <v>338</v>
      </c>
      <c r="C332" t="s">
        <v>19</v>
      </c>
      <c r="D332" s="1">
        <v>43560</v>
      </c>
      <c r="E332" s="1">
        <v>46116</v>
      </c>
      <c r="F332" t="s">
        <v>37</v>
      </c>
      <c r="G332">
        <v>1</v>
      </c>
      <c r="H332" t="s">
        <v>21</v>
      </c>
      <c r="I332" t="s">
        <v>22</v>
      </c>
      <c r="J332" t="s">
        <v>37</v>
      </c>
      <c r="K332" t="s">
        <v>66</v>
      </c>
      <c r="L332">
        <v>162500</v>
      </c>
      <c r="M332" s="1">
        <v>43560</v>
      </c>
      <c r="N332" t="s">
        <v>24</v>
      </c>
      <c r="O332" t="s">
        <v>25</v>
      </c>
      <c r="Q332" s="1">
        <v>43852</v>
      </c>
    </row>
    <row r="333" spans="1:17" x14ac:dyDescent="0.5">
      <c r="A333" t="s">
        <v>194</v>
      </c>
      <c r="B333" t="s">
        <v>339</v>
      </c>
      <c r="C333" t="s">
        <v>19</v>
      </c>
      <c r="D333" s="1">
        <v>43573</v>
      </c>
      <c r="E333" s="1">
        <v>45947</v>
      </c>
      <c r="F333" t="s">
        <v>37</v>
      </c>
      <c r="G333">
        <v>1</v>
      </c>
      <c r="H333" t="s">
        <v>21</v>
      </c>
      <c r="I333" t="s">
        <v>22</v>
      </c>
      <c r="J333" t="s">
        <v>37</v>
      </c>
      <c r="K333" t="s">
        <v>66</v>
      </c>
      <c r="L333">
        <v>250000</v>
      </c>
      <c r="M333" s="1">
        <v>43573</v>
      </c>
      <c r="N333" t="s">
        <v>24</v>
      </c>
      <c r="O333" t="s">
        <v>25</v>
      </c>
      <c r="Q333" s="1">
        <v>43852</v>
      </c>
    </row>
    <row r="334" spans="1:17" x14ac:dyDescent="0.5">
      <c r="A334" t="s">
        <v>195</v>
      </c>
      <c r="B334" t="s">
        <v>340</v>
      </c>
      <c r="C334" t="s">
        <v>31</v>
      </c>
      <c r="D334" s="1">
        <v>42949</v>
      </c>
      <c r="E334" s="1">
        <v>43313</v>
      </c>
      <c r="F334" t="s">
        <v>32</v>
      </c>
      <c r="G334">
        <v>1</v>
      </c>
      <c r="H334" t="s">
        <v>21</v>
      </c>
      <c r="I334" t="s">
        <v>22</v>
      </c>
      <c r="J334" t="s">
        <v>33</v>
      </c>
      <c r="K334" t="s">
        <v>66</v>
      </c>
      <c r="L334">
        <v>78837.100000000006</v>
      </c>
      <c r="M334" s="1">
        <v>42949</v>
      </c>
      <c r="N334" t="s">
        <v>24</v>
      </c>
      <c r="O334" t="s">
        <v>252</v>
      </c>
      <c r="P334" t="s">
        <v>341</v>
      </c>
      <c r="Q334" s="1">
        <v>43852</v>
      </c>
    </row>
    <row r="335" spans="1:17" x14ac:dyDescent="0.5">
      <c r="A335" t="s">
        <v>196</v>
      </c>
      <c r="B335">
        <v>1.1120036171000001E+19</v>
      </c>
      <c r="C335" t="s">
        <v>31</v>
      </c>
      <c r="D335" s="1">
        <v>43182</v>
      </c>
      <c r="E335" s="1">
        <v>43546</v>
      </c>
      <c r="F335" t="s">
        <v>37</v>
      </c>
      <c r="G335">
        <v>1</v>
      </c>
      <c r="H335" t="s">
        <v>21</v>
      </c>
      <c r="I335" t="s">
        <v>22</v>
      </c>
      <c r="J335" t="s">
        <v>37</v>
      </c>
      <c r="K335" t="s">
        <v>23</v>
      </c>
      <c r="L335">
        <v>21875</v>
      </c>
      <c r="M335" s="1">
        <v>43182</v>
      </c>
      <c r="N335" t="s">
        <v>24</v>
      </c>
      <c r="O335" t="s">
        <v>25</v>
      </c>
      <c r="Q335" s="1">
        <v>43852</v>
      </c>
    </row>
    <row r="336" spans="1:17" x14ac:dyDescent="0.5">
      <c r="A336" t="s">
        <v>198</v>
      </c>
      <c r="B336" t="s">
        <v>342</v>
      </c>
      <c r="C336" t="s">
        <v>19</v>
      </c>
      <c r="D336" s="1">
        <v>43547</v>
      </c>
      <c r="E336" s="1">
        <v>43912</v>
      </c>
      <c r="F336" t="s">
        <v>37</v>
      </c>
      <c r="G336">
        <v>1</v>
      </c>
      <c r="H336" t="s">
        <v>21</v>
      </c>
      <c r="I336" t="s">
        <v>22</v>
      </c>
      <c r="J336" t="s">
        <v>37</v>
      </c>
      <c r="K336" t="s">
        <v>23</v>
      </c>
      <c r="L336">
        <v>59322</v>
      </c>
      <c r="M336" s="1">
        <v>43577</v>
      </c>
      <c r="N336" t="s">
        <v>24</v>
      </c>
      <c r="O336" t="s">
        <v>23</v>
      </c>
      <c r="Q336" s="1">
        <v>43852</v>
      </c>
    </row>
    <row r="337" spans="1:17" x14ac:dyDescent="0.5">
      <c r="A337" t="s">
        <v>200</v>
      </c>
      <c r="B337" t="s">
        <v>343</v>
      </c>
      <c r="C337" t="s">
        <v>19</v>
      </c>
      <c r="D337" s="1">
        <v>43182</v>
      </c>
      <c r="E337" s="1">
        <v>44096</v>
      </c>
      <c r="F337" t="s">
        <v>202</v>
      </c>
      <c r="G337">
        <v>1</v>
      </c>
      <c r="H337" t="s">
        <v>21</v>
      </c>
      <c r="I337" t="s">
        <v>22</v>
      </c>
      <c r="J337" t="s">
        <v>33</v>
      </c>
      <c r="K337" t="s">
        <v>66</v>
      </c>
      <c r="L337">
        <v>26763.4</v>
      </c>
      <c r="M337" s="1">
        <v>43822</v>
      </c>
      <c r="N337" t="s">
        <v>24</v>
      </c>
      <c r="O337" t="s">
        <v>25</v>
      </c>
      <c r="Q337" s="1">
        <v>43852</v>
      </c>
    </row>
    <row r="338" spans="1:17" x14ac:dyDescent="0.5">
      <c r="A338" t="s">
        <v>203</v>
      </c>
      <c r="B338" t="s">
        <v>343</v>
      </c>
      <c r="C338" t="s">
        <v>19</v>
      </c>
      <c r="D338" s="1">
        <v>43182</v>
      </c>
      <c r="E338" s="1">
        <v>44096</v>
      </c>
      <c r="F338" t="s">
        <v>202</v>
      </c>
      <c r="G338">
        <v>1</v>
      </c>
      <c r="H338" t="s">
        <v>21</v>
      </c>
      <c r="I338" t="s">
        <v>22</v>
      </c>
      <c r="J338" t="s">
        <v>33</v>
      </c>
      <c r="K338" t="s">
        <v>66</v>
      </c>
      <c r="L338">
        <v>26763.4</v>
      </c>
      <c r="M338" s="1">
        <v>43913</v>
      </c>
      <c r="N338" t="s">
        <v>24</v>
      </c>
      <c r="O338" t="s">
        <v>25</v>
      </c>
      <c r="Q338" s="1">
        <v>43852</v>
      </c>
    </row>
    <row r="339" spans="1:17" x14ac:dyDescent="0.5">
      <c r="A339" t="s">
        <v>204</v>
      </c>
      <c r="B339" t="s">
        <v>343</v>
      </c>
      <c r="C339" t="s">
        <v>19</v>
      </c>
      <c r="D339" s="1">
        <v>43182</v>
      </c>
      <c r="E339" s="1">
        <v>44096</v>
      </c>
      <c r="F339" t="s">
        <v>202</v>
      </c>
      <c r="G339">
        <v>1</v>
      </c>
      <c r="H339" t="s">
        <v>21</v>
      </c>
      <c r="I339" t="s">
        <v>22</v>
      </c>
      <c r="J339" t="s">
        <v>33</v>
      </c>
      <c r="K339" t="s">
        <v>66</v>
      </c>
      <c r="L339">
        <v>26763.439999999999</v>
      </c>
      <c r="M339" s="1">
        <v>43274</v>
      </c>
      <c r="N339" t="s">
        <v>24</v>
      </c>
      <c r="O339" t="s">
        <v>25</v>
      </c>
      <c r="Q339" s="1">
        <v>43852</v>
      </c>
    </row>
    <row r="340" spans="1:17" x14ac:dyDescent="0.5">
      <c r="A340" t="s">
        <v>205</v>
      </c>
      <c r="B340" t="s">
        <v>343</v>
      </c>
      <c r="C340" t="s">
        <v>19</v>
      </c>
      <c r="D340" s="1">
        <v>43182</v>
      </c>
      <c r="E340" s="1">
        <v>44096</v>
      </c>
      <c r="F340" t="s">
        <v>202</v>
      </c>
      <c r="G340">
        <v>1</v>
      </c>
      <c r="H340" t="s">
        <v>21</v>
      </c>
      <c r="I340" t="s">
        <v>22</v>
      </c>
      <c r="J340" t="s">
        <v>33</v>
      </c>
      <c r="K340" t="s">
        <v>66</v>
      </c>
      <c r="L340">
        <v>26763.439999999999</v>
      </c>
      <c r="M340" s="1">
        <v>43366</v>
      </c>
      <c r="N340" t="s">
        <v>24</v>
      </c>
      <c r="O340" t="s">
        <v>25</v>
      </c>
      <c r="Q340" s="1">
        <v>43852</v>
      </c>
    </row>
    <row r="341" spans="1:17" x14ac:dyDescent="0.5">
      <c r="A341" t="s">
        <v>206</v>
      </c>
      <c r="B341" t="s">
        <v>343</v>
      </c>
      <c r="C341" t="s">
        <v>19</v>
      </c>
      <c r="D341" s="1">
        <v>43182</v>
      </c>
      <c r="E341" s="1">
        <v>44096</v>
      </c>
      <c r="F341" t="s">
        <v>202</v>
      </c>
      <c r="G341">
        <v>1</v>
      </c>
      <c r="H341" t="s">
        <v>21</v>
      </c>
      <c r="I341" t="s">
        <v>22</v>
      </c>
      <c r="J341" t="s">
        <v>33</v>
      </c>
      <c r="K341" t="s">
        <v>66</v>
      </c>
      <c r="L341">
        <v>26763.439999999999</v>
      </c>
      <c r="M341" s="1">
        <v>43457</v>
      </c>
      <c r="N341" t="s">
        <v>24</v>
      </c>
      <c r="O341" t="s">
        <v>25</v>
      </c>
      <c r="Q341" s="1">
        <v>43852</v>
      </c>
    </row>
    <row r="342" spans="1:17" x14ac:dyDescent="0.5">
      <c r="A342" t="s">
        <v>207</v>
      </c>
      <c r="B342" t="s">
        <v>343</v>
      </c>
      <c r="C342" t="s">
        <v>19</v>
      </c>
      <c r="D342" s="1">
        <v>43182</v>
      </c>
      <c r="E342" s="1">
        <v>44096</v>
      </c>
      <c r="F342" t="s">
        <v>202</v>
      </c>
      <c r="G342">
        <v>1</v>
      </c>
      <c r="H342" t="s">
        <v>21</v>
      </c>
      <c r="I342" t="s">
        <v>22</v>
      </c>
      <c r="J342" t="s">
        <v>33</v>
      </c>
      <c r="K342" t="s">
        <v>66</v>
      </c>
      <c r="L342">
        <v>26763.439999999999</v>
      </c>
      <c r="M342" s="1">
        <v>43547</v>
      </c>
      <c r="N342" t="s">
        <v>24</v>
      </c>
      <c r="O342" t="s">
        <v>25</v>
      </c>
      <c r="Q342" s="1">
        <v>43852</v>
      </c>
    </row>
    <row r="343" spans="1:17" x14ac:dyDescent="0.5">
      <c r="A343" t="s">
        <v>208</v>
      </c>
      <c r="B343" t="s">
        <v>343</v>
      </c>
      <c r="C343" t="s">
        <v>19</v>
      </c>
      <c r="D343" s="1">
        <v>43182</v>
      </c>
      <c r="E343" s="1">
        <v>44096</v>
      </c>
      <c r="F343" t="s">
        <v>202</v>
      </c>
      <c r="G343">
        <v>1</v>
      </c>
      <c r="H343" t="s">
        <v>21</v>
      </c>
      <c r="I343" t="s">
        <v>22</v>
      </c>
      <c r="J343" t="s">
        <v>33</v>
      </c>
      <c r="K343" t="s">
        <v>66</v>
      </c>
      <c r="L343">
        <v>26763.439999999999</v>
      </c>
      <c r="M343" s="1">
        <v>43639</v>
      </c>
      <c r="N343" t="s">
        <v>24</v>
      </c>
      <c r="O343" t="s">
        <v>25</v>
      </c>
      <c r="Q343" s="1">
        <v>43852</v>
      </c>
    </row>
    <row r="344" spans="1:17" x14ac:dyDescent="0.5">
      <c r="A344" t="s">
        <v>344</v>
      </c>
      <c r="B344" t="s">
        <v>343</v>
      </c>
      <c r="C344" t="s">
        <v>19</v>
      </c>
      <c r="D344" s="1">
        <v>43182</v>
      </c>
      <c r="E344" s="1">
        <v>44096</v>
      </c>
      <c r="F344" t="s">
        <v>202</v>
      </c>
      <c r="G344">
        <v>1</v>
      </c>
      <c r="H344" t="s">
        <v>21</v>
      </c>
      <c r="I344" t="s">
        <v>22</v>
      </c>
      <c r="J344" t="s">
        <v>33</v>
      </c>
      <c r="K344" t="s">
        <v>66</v>
      </c>
      <c r="L344">
        <v>26763.439999999999</v>
      </c>
      <c r="M344" s="1">
        <v>43731</v>
      </c>
      <c r="N344" t="s">
        <v>24</v>
      </c>
      <c r="O344" t="s">
        <v>25</v>
      </c>
      <c r="Q344" s="1">
        <v>43852</v>
      </c>
    </row>
    <row r="345" spans="1:17" x14ac:dyDescent="0.5">
      <c r="A345" t="s">
        <v>344</v>
      </c>
      <c r="B345" t="s">
        <v>343</v>
      </c>
      <c r="C345" t="s">
        <v>19</v>
      </c>
      <c r="D345" s="1">
        <v>43182</v>
      </c>
      <c r="E345" s="1">
        <v>44096</v>
      </c>
      <c r="F345" t="s">
        <v>202</v>
      </c>
      <c r="G345">
        <v>1</v>
      </c>
      <c r="H345" t="s">
        <v>21</v>
      </c>
      <c r="I345" t="s">
        <v>22</v>
      </c>
      <c r="J345" t="s">
        <v>33</v>
      </c>
      <c r="K345" t="s">
        <v>66</v>
      </c>
      <c r="L345">
        <v>39440.839999999997</v>
      </c>
      <c r="M345" s="1">
        <v>43182</v>
      </c>
      <c r="N345" t="s">
        <v>24</v>
      </c>
      <c r="O345" t="s">
        <v>25</v>
      </c>
      <c r="Q345" s="1">
        <v>43852</v>
      </c>
    </row>
    <row r="346" spans="1:17" x14ac:dyDescent="0.5">
      <c r="A346" t="s">
        <v>344</v>
      </c>
      <c r="B346" t="s">
        <v>345</v>
      </c>
      <c r="C346" t="s">
        <v>19</v>
      </c>
      <c r="D346" s="1">
        <v>43321</v>
      </c>
      <c r="E346" s="1">
        <v>44416</v>
      </c>
      <c r="F346" t="s">
        <v>202</v>
      </c>
      <c r="G346">
        <v>1</v>
      </c>
      <c r="H346" t="s">
        <v>21</v>
      </c>
      <c r="I346" t="s">
        <v>22</v>
      </c>
      <c r="J346" t="s">
        <v>33</v>
      </c>
      <c r="K346" t="s">
        <v>66</v>
      </c>
      <c r="L346">
        <v>14274.76</v>
      </c>
      <c r="M346" s="1">
        <v>43778</v>
      </c>
      <c r="N346" t="s">
        <v>24</v>
      </c>
      <c r="O346" t="s">
        <v>25</v>
      </c>
      <c r="Q346" s="1">
        <v>43852</v>
      </c>
    </row>
    <row r="347" spans="1:17" x14ac:dyDescent="0.5">
      <c r="A347" t="s">
        <v>344</v>
      </c>
      <c r="B347" t="s">
        <v>345</v>
      </c>
      <c r="C347" t="s">
        <v>19</v>
      </c>
      <c r="D347" s="1">
        <v>43321</v>
      </c>
      <c r="E347" s="1">
        <v>44416</v>
      </c>
      <c r="F347" t="s">
        <v>202</v>
      </c>
      <c r="G347">
        <v>1</v>
      </c>
      <c r="H347" t="s">
        <v>21</v>
      </c>
      <c r="I347" t="s">
        <v>22</v>
      </c>
      <c r="J347" t="s">
        <v>33</v>
      </c>
      <c r="K347" t="s">
        <v>66</v>
      </c>
      <c r="L347">
        <v>14274.76</v>
      </c>
      <c r="M347" s="1">
        <v>43870</v>
      </c>
      <c r="N347" t="s">
        <v>24</v>
      </c>
      <c r="O347" t="s">
        <v>25</v>
      </c>
      <c r="Q347" s="1">
        <v>43852</v>
      </c>
    </row>
    <row r="348" spans="1:17" x14ac:dyDescent="0.5">
      <c r="A348" t="s">
        <v>344</v>
      </c>
      <c r="B348" t="s">
        <v>345</v>
      </c>
      <c r="C348" t="s">
        <v>19</v>
      </c>
      <c r="D348" s="1">
        <v>43321</v>
      </c>
      <c r="E348" s="1">
        <v>44416</v>
      </c>
      <c r="F348" t="s">
        <v>202</v>
      </c>
      <c r="G348">
        <v>1</v>
      </c>
      <c r="H348" t="s">
        <v>21</v>
      </c>
      <c r="I348" t="s">
        <v>22</v>
      </c>
      <c r="J348" t="s">
        <v>33</v>
      </c>
      <c r="K348" t="s">
        <v>66</v>
      </c>
      <c r="L348">
        <v>14274.76</v>
      </c>
      <c r="M348" s="1">
        <v>43960</v>
      </c>
      <c r="N348" t="s">
        <v>24</v>
      </c>
      <c r="O348" t="s">
        <v>25</v>
      </c>
      <c r="Q348" s="1">
        <v>43852</v>
      </c>
    </row>
    <row r="349" spans="1:17" x14ac:dyDescent="0.5">
      <c r="A349" t="s">
        <v>344</v>
      </c>
      <c r="B349" t="s">
        <v>345</v>
      </c>
      <c r="C349" t="s">
        <v>19</v>
      </c>
      <c r="D349" s="1">
        <v>43321</v>
      </c>
      <c r="E349" s="1">
        <v>44416</v>
      </c>
      <c r="F349" t="s">
        <v>202</v>
      </c>
      <c r="G349">
        <v>1</v>
      </c>
      <c r="H349" t="s">
        <v>21</v>
      </c>
      <c r="I349" t="s">
        <v>22</v>
      </c>
      <c r="J349" t="s">
        <v>33</v>
      </c>
      <c r="K349" t="s">
        <v>66</v>
      </c>
      <c r="L349">
        <v>14274.76</v>
      </c>
      <c r="M349" s="1">
        <v>44052</v>
      </c>
      <c r="N349" t="s">
        <v>24</v>
      </c>
      <c r="O349" t="s">
        <v>25</v>
      </c>
      <c r="Q349" s="1">
        <v>43852</v>
      </c>
    </row>
    <row r="350" spans="1:17" x14ac:dyDescent="0.5">
      <c r="A350" t="s">
        <v>344</v>
      </c>
      <c r="B350" t="s">
        <v>345</v>
      </c>
      <c r="C350" t="s">
        <v>19</v>
      </c>
      <c r="D350" s="1">
        <v>43321</v>
      </c>
      <c r="E350" s="1">
        <v>44416</v>
      </c>
      <c r="F350" t="s">
        <v>202</v>
      </c>
      <c r="G350">
        <v>1</v>
      </c>
      <c r="H350" t="s">
        <v>21</v>
      </c>
      <c r="I350" t="s">
        <v>22</v>
      </c>
      <c r="J350" t="s">
        <v>33</v>
      </c>
      <c r="K350" t="s">
        <v>66</v>
      </c>
      <c r="L350">
        <v>14274.76</v>
      </c>
      <c r="M350" s="1">
        <v>44144</v>
      </c>
      <c r="N350" t="s">
        <v>24</v>
      </c>
      <c r="O350" t="s">
        <v>25</v>
      </c>
      <c r="Q350" s="1">
        <v>43852</v>
      </c>
    </row>
    <row r="351" spans="1:17" x14ac:dyDescent="0.5">
      <c r="A351" t="s">
        <v>344</v>
      </c>
      <c r="B351" t="s">
        <v>345</v>
      </c>
      <c r="C351" t="s">
        <v>19</v>
      </c>
      <c r="D351" s="1">
        <v>43321</v>
      </c>
      <c r="E351" s="1">
        <v>44416</v>
      </c>
      <c r="F351" t="s">
        <v>202</v>
      </c>
      <c r="G351">
        <v>1</v>
      </c>
      <c r="H351" t="s">
        <v>21</v>
      </c>
      <c r="I351" t="s">
        <v>22</v>
      </c>
      <c r="J351" t="s">
        <v>33</v>
      </c>
      <c r="K351" t="s">
        <v>66</v>
      </c>
      <c r="L351">
        <v>14274.76</v>
      </c>
      <c r="M351" s="1">
        <v>44236</v>
      </c>
      <c r="N351" t="s">
        <v>24</v>
      </c>
      <c r="O351" t="s">
        <v>25</v>
      </c>
      <c r="Q351" s="1">
        <v>43852</v>
      </c>
    </row>
    <row r="352" spans="1:17" x14ac:dyDescent="0.5">
      <c r="A352" t="s">
        <v>344</v>
      </c>
      <c r="B352" t="s">
        <v>345</v>
      </c>
      <c r="C352" t="s">
        <v>19</v>
      </c>
      <c r="D352" s="1">
        <v>43321</v>
      </c>
      <c r="E352" s="1">
        <v>44416</v>
      </c>
      <c r="F352" t="s">
        <v>202</v>
      </c>
      <c r="G352">
        <v>1</v>
      </c>
      <c r="H352" t="s">
        <v>21</v>
      </c>
      <c r="I352" t="s">
        <v>22</v>
      </c>
      <c r="J352" t="s">
        <v>33</v>
      </c>
      <c r="K352" t="s">
        <v>66</v>
      </c>
      <c r="L352">
        <v>14274.76</v>
      </c>
      <c r="M352" s="1">
        <v>43505</v>
      </c>
      <c r="N352" t="s">
        <v>24</v>
      </c>
      <c r="O352" t="s">
        <v>25</v>
      </c>
      <c r="Q352" s="1">
        <v>43852</v>
      </c>
    </row>
    <row r="353" spans="1:17" x14ac:dyDescent="0.5">
      <c r="A353" t="s">
        <v>344</v>
      </c>
      <c r="B353" t="s">
        <v>345</v>
      </c>
      <c r="C353" t="s">
        <v>19</v>
      </c>
      <c r="D353" s="1">
        <v>43321</v>
      </c>
      <c r="E353" s="1">
        <v>44416</v>
      </c>
      <c r="F353" t="s">
        <v>202</v>
      </c>
      <c r="G353">
        <v>1</v>
      </c>
      <c r="H353" t="s">
        <v>21</v>
      </c>
      <c r="I353" t="s">
        <v>22</v>
      </c>
      <c r="J353" t="s">
        <v>33</v>
      </c>
      <c r="K353" t="s">
        <v>66</v>
      </c>
      <c r="L353">
        <v>14274.76</v>
      </c>
      <c r="M353" s="1">
        <v>43594</v>
      </c>
      <c r="N353" t="s">
        <v>24</v>
      </c>
      <c r="O353" t="s">
        <v>25</v>
      </c>
      <c r="Q353" s="1">
        <v>43852</v>
      </c>
    </row>
    <row r="354" spans="1:17" x14ac:dyDescent="0.5">
      <c r="A354" t="s">
        <v>344</v>
      </c>
      <c r="B354" t="s">
        <v>345</v>
      </c>
      <c r="C354" t="s">
        <v>19</v>
      </c>
      <c r="D354" s="1">
        <v>43321</v>
      </c>
      <c r="E354" s="1">
        <v>44416</v>
      </c>
      <c r="F354" t="s">
        <v>202</v>
      </c>
      <c r="G354">
        <v>1</v>
      </c>
      <c r="H354" t="s">
        <v>21</v>
      </c>
      <c r="I354" t="s">
        <v>22</v>
      </c>
      <c r="J354" t="s">
        <v>33</v>
      </c>
      <c r="K354" t="s">
        <v>66</v>
      </c>
      <c r="L354">
        <v>14274.76</v>
      </c>
      <c r="M354" s="1">
        <v>43686</v>
      </c>
      <c r="N354" t="s">
        <v>24</v>
      </c>
      <c r="O354" t="s">
        <v>25</v>
      </c>
      <c r="Q354" s="1">
        <v>43852</v>
      </c>
    </row>
    <row r="355" spans="1:17" x14ac:dyDescent="0.5">
      <c r="A355" t="s">
        <v>344</v>
      </c>
      <c r="B355" t="s">
        <v>345</v>
      </c>
      <c r="C355" t="s">
        <v>19</v>
      </c>
      <c r="D355" s="1">
        <v>43321</v>
      </c>
      <c r="E355" s="1">
        <v>44416</v>
      </c>
      <c r="F355" t="s">
        <v>202</v>
      </c>
      <c r="G355">
        <v>1</v>
      </c>
      <c r="H355" t="s">
        <v>21</v>
      </c>
      <c r="I355" t="s">
        <v>22</v>
      </c>
      <c r="J355" t="s">
        <v>33</v>
      </c>
      <c r="K355" t="s">
        <v>66</v>
      </c>
      <c r="L355">
        <v>14274.8</v>
      </c>
      <c r="M355" s="1">
        <v>43413</v>
      </c>
      <c r="N355" t="s">
        <v>24</v>
      </c>
      <c r="O355" t="s">
        <v>25</v>
      </c>
      <c r="Q355" s="1">
        <v>43852</v>
      </c>
    </row>
    <row r="356" spans="1:17" x14ac:dyDescent="0.5">
      <c r="A356" t="s">
        <v>344</v>
      </c>
      <c r="B356" t="s">
        <v>345</v>
      </c>
      <c r="C356" t="s">
        <v>19</v>
      </c>
      <c r="D356" s="1">
        <v>43321</v>
      </c>
      <c r="E356" s="1">
        <v>44416</v>
      </c>
      <c r="F356" t="s">
        <v>202</v>
      </c>
      <c r="G356">
        <v>1</v>
      </c>
      <c r="H356" t="s">
        <v>21</v>
      </c>
      <c r="I356" t="s">
        <v>22</v>
      </c>
      <c r="J356" t="s">
        <v>33</v>
      </c>
      <c r="K356" t="s">
        <v>66</v>
      </c>
      <c r="L356">
        <v>22539.08</v>
      </c>
      <c r="M356" s="1">
        <v>43321</v>
      </c>
      <c r="N356" t="s">
        <v>24</v>
      </c>
      <c r="O356" t="s">
        <v>25</v>
      </c>
      <c r="Q356" s="1">
        <v>43852</v>
      </c>
    </row>
    <row r="357" spans="1:17" x14ac:dyDescent="0.5">
      <c r="A357" t="s">
        <v>344</v>
      </c>
      <c r="B357" t="s">
        <v>346</v>
      </c>
      <c r="C357" t="s">
        <v>19</v>
      </c>
      <c r="D357" s="1">
        <v>43447</v>
      </c>
      <c r="E357" s="1">
        <v>44359</v>
      </c>
      <c r="F357" t="s">
        <v>202</v>
      </c>
      <c r="G357">
        <v>1</v>
      </c>
      <c r="H357" t="s">
        <v>21</v>
      </c>
      <c r="I357" t="s">
        <v>22</v>
      </c>
      <c r="J357" t="s">
        <v>33</v>
      </c>
      <c r="K357" t="s">
        <v>66</v>
      </c>
      <c r="L357">
        <v>24072.23</v>
      </c>
      <c r="M357" s="1">
        <v>43812</v>
      </c>
      <c r="N357" t="s">
        <v>24</v>
      </c>
      <c r="O357" t="s">
        <v>25</v>
      </c>
      <c r="Q357" s="1">
        <v>43852</v>
      </c>
    </row>
    <row r="358" spans="1:17" x14ac:dyDescent="0.5">
      <c r="A358" t="s">
        <v>344</v>
      </c>
      <c r="B358" t="s">
        <v>346</v>
      </c>
      <c r="C358" t="s">
        <v>19</v>
      </c>
      <c r="D358" s="1">
        <v>43447</v>
      </c>
      <c r="E358" s="1">
        <v>44359</v>
      </c>
      <c r="F358" t="s">
        <v>202</v>
      </c>
      <c r="G358">
        <v>1</v>
      </c>
      <c r="H358" t="s">
        <v>21</v>
      </c>
      <c r="I358" t="s">
        <v>22</v>
      </c>
      <c r="J358" t="s">
        <v>33</v>
      </c>
      <c r="K358" t="s">
        <v>66</v>
      </c>
      <c r="L358">
        <v>24072.23</v>
      </c>
      <c r="M358" s="1">
        <v>43903</v>
      </c>
      <c r="N358" t="s">
        <v>24</v>
      </c>
      <c r="O358" t="s">
        <v>25</v>
      </c>
      <c r="Q358" s="1">
        <v>43852</v>
      </c>
    </row>
    <row r="359" spans="1:17" x14ac:dyDescent="0.5">
      <c r="A359" t="s">
        <v>344</v>
      </c>
      <c r="B359" t="s">
        <v>346</v>
      </c>
      <c r="C359" t="s">
        <v>19</v>
      </c>
      <c r="D359" s="1">
        <v>43447</v>
      </c>
      <c r="E359" s="1">
        <v>44359</v>
      </c>
      <c r="F359" t="s">
        <v>202</v>
      </c>
      <c r="G359">
        <v>1</v>
      </c>
      <c r="H359" t="s">
        <v>21</v>
      </c>
      <c r="I359" t="s">
        <v>22</v>
      </c>
      <c r="J359" t="s">
        <v>33</v>
      </c>
      <c r="K359" t="s">
        <v>66</v>
      </c>
      <c r="L359">
        <v>24072.23</v>
      </c>
      <c r="M359" s="1">
        <v>43995</v>
      </c>
      <c r="N359" t="s">
        <v>24</v>
      </c>
      <c r="O359" t="s">
        <v>25</v>
      </c>
      <c r="Q359" s="1">
        <v>43852</v>
      </c>
    </row>
    <row r="360" spans="1:17" x14ac:dyDescent="0.5">
      <c r="A360" t="s">
        <v>344</v>
      </c>
      <c r="B360" t="s">
        <v>346</v>
      </c>
      <c r="C360" t="s">
        <v>19</v>
      </c>
      <c r="D360" s="1">
        <v>43447</v>
      </c>
      <c r="E360" s="1">
        <v>44359</v>
      </c>
      <c r="F360" t="s">
        <v>202</v>
      </c>
      <c r="G360">
        <v>1</v>
      </c>
      <c r="H360" t="s">
        <v>21</v>
      </c>
      <c r="I360" t="s">
        <v>22</v>
      </c>
      <c r="J360" t="s">
        <v>33</v>
      </c>
      <c r="K360" t="s">
        <v>66</v>
      </c>
      <c r="L360">
        <v>24072.23</v>
      </c>
      <c r="M360" s="1">
        <v>44087</v>
      </c>
      <c r="N360" t="s">
        <v>24</v>
      </c>
      <c r="O360" t="s">
        <v>25</v>
      </c>
      <c r="Q360" s="1">
        <v>43852</v>
      </c>
    </row>
    <row r="361" spans="1:17" x14ac:dyDescent="0.5">
      <c r="A361" t="s">
        <v>344</v>
      </c>
      <c r="B361" t="s">
        <v>346</v>
      </c>
      <c r="C361" t="s">
        <v>19</v>
      </c>
      <c r="D361" s="1">
        <v>43447</v>
      </c>
      <c r="E361" s="1">
        <v>44359</v>
      </c>
      <c r="F361" t="s">
        <v>202</v>
      </c>
      <c r="G361">
        <v>1</v>
      </c>
      <c r="H361" t="s">
        <v>21</v>
      </c>
      <c r="I361" t="s">
        <v>22</v>
      </c>
      <c r="J361" t="s">
        <v>33</v>
      </c>
      <c r="K361" t="s">
        <v>66</v>
      </c>
      <c r="L361">
        <v>24072.23</v>
      </c>
      <c r="M361" s="1">
        <v>44178</v>
      </c>
      <c r="N361" t="s">
        <v>24</v>
      </c>
      <c r="O361" t="s">
        <v>25</v>
      </c>
      <c r="Q361" s="1">
        <v>43852</v>
      </c>
    </row>
    <row r="362" spans="1:17" x14ac:dyDescent="0.5">
      <c r="A362" t="s">
        <v>344</v>
      </c>
      <c r="B362" t="s">
        <v>346</v>
      </c>
      <c r="C362" t="s">
        <v>19</v>
      </c>
      <c r="D362" s="1">
        <v>43447</v>
      </c>
      <c r="E362" s="1">
        <v>44359</v>
      </c>
      <c r="F362" t="s">
        <v>202</v>
      </c>
      <c r="G362">
        <v>1</v>
      </c>
      <c r="H362" t="s">
        <v>21</v>
      </c>
      <c r="I362" t="s">
        <v>22</v>
      </c>
      <c r="J362" t="s">
        <v>33</v>
      </c>
      <c r="K362" t="s">
        <v>66</v>
      </c>
      <c r="L362">
        <v>24072.23</v>
      </c>
      <c r="M362" s="1">
        <v>43629</v>
      </c>
      <c r="N362" t="s">
        <v>24</v>
      </c>
      <c r="O362" t="s">
        <v>25</v>
      </c>
      <c r="Q362" s="1">
        <v>43852</v>
      </c>
    </row>
    <row r="363" spans="1:17" x14ac:dyDescent="0.5">
      <c r="A363" t="s">
        <v>344</v>
      </c>
      <c r="B363" t="s">
        <v>346</v>
      </c>
      <c r="C363" t="s">
        <v>19</v>
      </c>
      <c r="D363" s="1">
        <v>43447</v>
      </c>
      <c r="E363" s="1">
        <v>44359</v>
      </c>
      <c r="F363" t="s">
        <v>202</v>
      </c>
      <c r="G363">
        <v>1</v>
      </c>
      <c r="H363" t="s">
        <v>21</v>
      </c>
      <c r="I363" t="s">
        <v>22</v>
      </c>
      <c r="J363" t="s">
        <v>33</v>
      </c>
      <c r="K363" t="s">
        <v>66</v>
      </c>
      <c r="L363">
        <v>24072.23</v>
      </c>
      <c r="M363" s="1">
        <v>43721</v>
      </c>
      <c r="N363" t="s">
        <v>24</v>
      </c>
      <c r="O363" t="s">
        <v>25</v>
      </c>
      <c r="Q363" s="1">
        <v>43852</v>
      </c>
    </row>
    <row r="364" spans="1:17" x14ac:dyDescent="0.5">
      <c r="A364" t="s">
        <v>344</v>
      </c>
      <c r="B364" t="s">
        <v>346</v>
      </c>
      <c r="C364" t="s">
        <v>19</v>
      </c>
      <c r="D364" s="1">
        <v>43447</v>
      </c>
      <c r="E364" s="1">
        <v>44359</v>
      </c>
      <c r="F364" t="s">
        <v>202</v>
      </c>
      <c r="G364">
        <v>1</v>
      </c>
      <c r="H364" t="s">
        <v>21</v>
      </c>
      <c r="I364" t="s">
        <v>22</v>
      </c>
      <c r="J364" t="s">
        <v>33</v>
      </c>
      <c r="K364" t="s">
        <v>66</v>
      </c>
      <c r="L364">
        <v>24072.26</v>
      </c>
      <c r="M364" s="1">
        <v>43537</v>
      </c>
      <c r="N364" t="s">
        <v>24</v>
      </c>
      <c r="O364" t="s">
        <v>25</v>
      </c>
      <c r="Q364" s="1">
        <v>43852</v>
      </c>
    </row>
    <row r="365" spans="1:17" x14ac:dyDescent="0.5">
      <c r="A365" t="s">
        <v>344</v>
      </c>
      <c r="B365" t="s">
        <v>346</v>
      </c>
      <c r="C365" t="s">
        <v>19</v>
      </c>
      <c r="D365" s="1">
        <v>43447</v>
      </c>
      <c r="E365" s="1">
        <v>44359</v>
      </c>
      <c r="F365" t="s">
        <v>202</v>
      </c>
      <c r="G365">
        <v>1</v>
      </c>
      <c r="H365" t="s">
        <v>21</v>
      </c>
      <c r="I365" t="s">
        <v>22</v>
      </c>
      <c r="J365" t="s">
        <v>33</v>
      </c>
      <c r="K365" t="s">
        <v>66</v>
      </c>
      <c r="L365">
        <v>35521.53</v>
      </c>
      <c r="M365" s="1">
        <v>43447</v>
      </c>
      <c r="N365" t="s">
        <v>24</v>
      </c>
      <c r="O365" t="s">
        <v>25</v>
      </c>
      <c r="Q365" s="1">
        <v>43852</v>
      </c>
    </row>
    <row r="366" spans="1:17" x14ac:dyDescent="0.5">
      <c r="A366" t="s">
        <v>344</v>
      </c>
      <c r="B366" t="s">
        <v>347</v>
      </c>
      <c r="C366" t="s">
        <v>19</v>
      </c>
      <c r="D366" s="1">
        <v>43445</v>
      </c>
      <c r="E366" s="1">
        <v>44357</v>
      </c>
      <c r="F366" t="s">
        <v>202</v>
      </c>
      <c r="G366">
        <v>1</v>
      </c>
      <c r="H366" t="s">
        <v>21</v>
      </c>
      <c r="I366" t="s">
        <v>22</v>
      </c>
      <c r="J366" t="s">
        <v>33</v>
      </c>
      <c r="K366" t="s">
        <v>66</v>
      </c>
      <c r="L366">
        <v>31816.79</v>
      </c>
      <c r="M366" s="1">
        <v>43810</v>
      </c>
      <c r="N366" t="s">
        <v>24</v>
      </c>
      <c r="O366" t="s">
        <v>25</v>
      </c>
      <c r="Q366" s="1">
        <v>43852</v>
      </c>
    </row>
    <row r="367" spans="1:17" x14ac:dyDescent="0.5">
      <c r="A367" t="s">
        <v>344</v>
      </c>
      <c r="B367" t="s">
        <v>347</v>
      </c>
      <c r="C367" t="s">
        <v>19</v>
      </c>
      <c r="D367" s="1">
        <v>43445</v>
      </c>
      <c r="E367" s="1">
        <v>44357</v>
      </c>
      <c r="F367" t="s">
        <v>202</v>
      </c>
      <c r="G367">
        <v>1</v>
      </c>
      <c r="H367" t="s">
        <v>21</v>
      </c>
      <c r="I367" t="s">
        <v>22</v>
      </c>
      <c r="J367" t="s">
        <v>33</v>
      </c>
      <c r="K367" t="s">
        <v>66</v>
      </c>
      <c r="L367">
        <v>31816.79</v>
      </c>
      <c r="M367" s="1">
        <v>43901</v>
      </c>
      <c r="N367" t="s">
        <v>24</v>
      </c>
      <c r="O367" t="s">
        <v>25</v>
      </c>
      <c r="Q367" s="1">
        <v>43852</v>
      </c>
    </row>
    <row r="368" spans="1:17" x14ac:dyDescent="0.5">
      <c r="A368" t="s">
        <v>344</v>
      </c>
      <c r="B368" t="s">
        <v>347</v>
      </c>
      <c r="C368" t="s">
        <v>19</v>
      </c>
      <c r="D368" s="1">
        <v>43445</v>
      </c>
      <c r="E368" s="1">
        <v>44357</v>
      </c>
      <c r="F368" t="s">
        <v>202</v>
      </c>
      <c r="G368">
        <v>1</v>
      </c>
      <c r="H368" t="s">
        <v>21</v>
      </c>
      <c r="I368" t="s">
        <v>22</v>
      </c>
      <c r="J368" t="s">
        <v>33</v>
      </c>
      <c r="K368" t="s">
        <v>66</v>
      </c>
      <c r="L368">
        <v>31816.79</v>
      </c>
      <c r="M368" s="1">
        <v>43993</v>
      </c>
      <c r="N368" t="s">
        <v>24</v>
      </c>
      <c r="O368" t="s">
        <v>25</v>
      </c>
      <c r="Q368" s="1">
        <v>43852</v>
      </c>
    </row>
    <row r="369" spans="1:17" x14ac:dyDescent="0.5">
      <c r="A369" t="s">
        <v>344</v>
      </c>
      <c r="B369" t="s">
        <v>347</v>
      </c>
      <c r="C369" t="s">
        <v>19</v>
      </c>
      <c r="D369" s="1">
        <v>43445</v>
      </c>
      <c r="E369" s="1">
        <v>44357</v>
      </c>
      <c r="F369" t="s">
        <v>202</v>
      </c>
      <c r="G369">
        <v>1</v>
      </c>
      <c r="H369" t="s">
        <v>21</v>
      </c>
      <c r="I369" t="s">
        <v>22</v>
      </c>
      <c r="J369" t="s">
        <v>33</v>
      </c>
      <c r="K369" t="s">
        <v>66</v>
      </c>
      <c r="L369">
        <v>31816.79</v>
      </c>
      <c r="M369" s="1">
        <v>44085</v>
      </c>
      <c r="N369" t="s">
        <v>24</v>
      </c>
      <c r="O369" t="s">
        <v>25</v>
      </c>
      <c r="Q369" s="1">
        <v>43852</v>
      </c>
    </row>
    <row r="370" spans="1:17" x14ac:dyDescent="0.5">
      <c r="A370" t="s">
        <v>344</v>
      </c>
      <c r="B370" t="s">
        <v>347</v>
      </c>
      <c r="C370" t="s">
        <v>19</v>
      </c>
      <c r="D370" s="1">
        <v>43445</v>
      </c>
      <c r="E370" s="1">
        <v>44357</v>
      </c>
      <c r="F370" t="s">
        <v>202</v>
      </c>
      <c r="G370">
        <v>1</v>
      </c>
      <c r="H370" t="s">
        <v>21</v>
      </c>
      <c r="I370" t="s">
        <v>22</v>
      </c>
      <c r="J370" t="s">
        <v>33</v>
      </c>
      <c r="K370" t="s">
        <v>66</v>
      </c>
      <c r="L370">
        <v>31816.79</v>
      </c>
      <c r="M370" s="1">
        <v>44176</v>
      </c>
      <c r="N370" t="s">
        <v>24</v>
      </c>
      <c r="O370" t="s">
        <v>25</v>
      </c>
      <c r="Q370" s="1">
        <v>43852</v>
      </c>
    </row>
    <row r="371" spans="1:17" x14ac:dyDescent="0.5">
      <c r="A371" t="s">
        <v>344</v>
      </c>
      <c r="B371" t="s">
        <v>347</v>
      </c>
      <c r="C371" t="s">
        <v>19</v>
      </c>
      <c r="D371" s="1">
        <v>43445</v>
      </c>
      <c r="E371" s="1">
        <v>44357</v>
      </c>
      <c r="F371" t="s">
        <v>202</v>
      </c>
      <c r="G371">
        <v>1</v>
      </c>
      <c r="H371" t="s">
        <v>21</v>
      </c>
      <c r="I371" t="s">
        <v>22</v>
      </c>
      <c r="J371" t="s">
        <v>33</v>
      </c>
      <c r="K371" t="s">
        <v>66</v>
      </c>
      <c r="L371">
        <v>31816.79</v>
      </c>
      <c r="M371" s="1">
        <v>43719</v>
      </c>
      <c r="N371" t="s">
        <v>24</v>
      </c>
      <c r="O371" t="s">
        <v>25</v>
      </c>
      <c r="Q371" s="1">
        <v>43852</v>
      </c>
    </row>
    <row r="372" spans="1:17" x14ac:dyDescent="0.5">
      <c r="A372" t="s">
        <v>344</v>
      </c>
      <c r="B372" t="s">
        <v>347</v>
      </c>
      <c r="C372" t="s">
        <v>19</v>
      </c>
      <c r="D372" s="1">
        <v>43445</v>
      </c>
      <c r="E372" s="1">
        <v>44357</v>
      </c>
      <c r="F372" t="s">
        <v>202</v>
      </c>
      <c r="G372">
        <v>1</v>
      </c>
      <c r="H372" t="s">
        <v>21</v>
      </c>
      <c r="I372" t="s">
        <v>22</v>
      </c>
      <c r="J372" t="s">
        <v>33</v>
      </c>
      <c r="K372" t="s">
        <v>66</v>
      </c>
      <c r="L372">
        <v>31816.83</v>
      </c>
      <c r="M372" s="1">
        <v>43535</v>
      </c>
      <c r="N372" t="s">
        <v>24</v>
      </c>
      <c r="O372" t="s">
        <v>25</v>
      </c>
      <c r="Q372" s="1">
        <v>43852</v>
      </c>
    </row>
    <row r="373" spans="1:17" x14ac:dyDescent="0.5">
      <c r="A373" t="s">
        <v>344</v>
      </c>
      <c r="B373" t="s">
        <v>347</v>
      </c>
      <c r="C373" t="s">
        <v>19</v>
      </c>
      <c r="D373" s="1">
        <v>43445</v>
      </c>
      <c r="E373" s="1">
        <v>44357</v>
      </c>
      <c r="F373" t="s">
        <v>202</v>
      </c>
      <c r="G373">
        <v>1</v>
      </c>
      <c r="H373" t="s">
        <v>21</v>
      </c>
      <c r="I373" t="s">
        <v>22</v>
      </c>
      <c r="J373" t="s">
        <v>33</v>
      </c>
      <c r="K373" t="s">
        <v>66</v>
      </c>
      <c r="L373">
        <v>31816.83</v>
      </c>
      <c r="M373" s="1">
        <v>43627</v>
      </c>
      <c r="N373" t="s">
        <v>24</v>
      </c>
      <c r="O373" t="s">
        <v>25</v>
      </c>
      <c r="Q373" s="1">
        <v>43852</v>
      </c>
    </row>
    <row r="374" spans="1:17" x14ac:dyDescent="0.5">
      <c r="A374" t="s">
        <v>344</v>
      </c>
      <c r="B374" t="s">
        <v>347</v>
      </c>
      <c r="C374" t="s">
        <v>19</v>
      </c>
      <c r="D374" s="1">
        <v>43445</v>
      </c>
      <c r="E374" s="1">
        <v>44357</v>
      </c>
      <c r="F374" t="s">
        <v>202</v>
      </c>
      <c r="G374">
        <v>1</v>
      </c>
      <c r="H374" t="s">
        <v>21</v>
      </c>
      <c r="I374" t="s">
        <v>22</v>
      </c>
      <c r="J374" t="s">
        <v>33</v>
      </c>
      <c r="K374" t="s">
        <v>66</v>
      </c>
      <c r="L374">
        <v>46888.34</v>
      </c>
      <c r="M374" s="1">
        <v>43445</v>
      </c>
      <c r="N374" t="s">
        <v>24</v>
      </c>
      <c r="O374" t="s">
        <v>25</v>
      </c>
      <c r="Q374" s="1">
        <v>43852</v>
      </c>
    </row>
    <row r="375" spans="1:17" x14ac:dyDescent="0.5">
      <c r="A375" t="s">
        <v>344</v>
      </c>
      <c r="B375" t="s">
        <v>348</v>
      </c>
      <c r="C375" t="s">
        <v>19</v>
      </c>
      <c r="D375" s="1">
        <v>43295</v>
      </c>
      <c r="E375" s="1">
        <v>44574</v>
      </c>
      <c r="F375" t="s">
        <v>202</v>
      </c>
      <c r="G375">
        <v>1</v>
      </c>
      <c r="H375" t="s">
        <v>21</v>
      </c>
      <c r="I375" t="s">
        <v>22</v>
      </c>
      <c r="J375" t="s">
        <v>33</v>
      </c>
      <c r="K375" t="s">
        <v>66</v>
      </c>
      <c r="L375">
        <v>5712.04</v>
      </c>
      <c r="M375" s="1">
        <v>43752</v>
      </c>
      <c r="N375" t="s">
        <v>24</v>
      </c>
      <c r="O375" t="s">
        <v>25</v>
      </c>
      <c r="Q375" s="1">
        <v>43852</v>
      </c>
    </row>
    <row r="376" spans="1:17" x14ac:dyDescent="0.5">
      <c r="A376" t="s">
        <v>344</v>
      </c>
      <c r="B376" t="s">
        <v>348</v>
      </c>
      <c r="C376" t="s">
        <v>19</v>
      </c>
      <c r="D376" s="1">
        <v>43295</v>
      </c>
      <c r="E376" s="1">
        <v>44574</v>
      </c>
      <c r="F376" t="s">
        <v>202</v>
      </c>
      <c r="G376">
        <v>1</v>
      </c>
      <c r="H376" t="s">
        <v>21</v>
      </c>
      <c r="I376" t="s">
        <v>22</v>
      </c>
      <c r="J376" t="s">
        <v>33</v>
      </c>
      <c r="K376" t="s">
        <v>66</v>
      </c>
      <c r="L376">
        <v>5712.04</v>
      </c>
      <c r="M376" s="1">
        <v>43844</v>
      </c>
      <c r="N376" t="s">
        <v>24</v>
      </c>
      <c r="O376" t="s">
        <v>25</v>
      </c>
      <c r="Q376" s="1">
        <v>43852</v>
      </c>
    </row>
    <row r="377" spans="1:17" x14ac:dyDescent="0.5">
      <c r="A377" t="s">
        <v>344</v>
      </c>
      <c r="B377" t="s">
        <v>348</v>
      </c>
      <c r="C377" t="s">
        <v>19</v>
      </c>
      <c r="D377" s="1">
        <v>43295</v>
      </c>
      <c r="E377" s="1">
        <v>44574</v>
      </c>
      <c r="F377" t="s">
        <v>202</v>
      </c>
      <c r="G377">
        <v>1</v>
      </c>
      <c r="H377" t="s">
        <v>21</v>
      </c>
      <c r="I377" t="s">
        <v>22</v>
      </c>
      <c r="J377" t="s">
        <v>33</v>
      </c>
      <c r="K377" t="s">
        <v>66</v>
      </c>
      <c r="L377">
        <v>5712.04</v>
      </c>
      <c r="M377" s="1">
        <v>43935</v>
      </c>
      <c r="N377" t="s">
        <v>24</v>
      </c>
      <c r="O377" t="s">
        <v>25</v>
      </c>
      <c r="Q377" s="1">
        <v>43852</v>
      </c>
    </row>
    <row r="378" spans="1:17" x14ac:dyDescent="0.5">
      <c r="A378" t="s">
        <v>344</v>
      </c>
      <c r="B378" t="s">
        <v>348</v>
      </c>
      <c r="C378" t="s">
        <v>19</v>
      </c>
      <c r="D378" s="1">
        <v>43295</v>
      </c>
      <c r="E378" s="1">
        <v>44574</v>
      </c>
      <c r="F378" t="s">
        <v>202</v>
      </c>
      <c r="G378">
        <v>1</v>
      </c>
      <c r="H378" t="s">
        <v>21</v>
      </c>
      <c r="I378" t="s">
        <v>22</v>
      </c>
      <c r="J378" t="s">
        <v>33</v>
      </c>
      <c r="K378" t="s">
        <v>66</v>
      </c>
      <c r="L378">
        <v>5712.04</v>
      </c>
      <c r="M378" s="1">
        <v>44026</v>
      </c>
      <c r="N378" t="s">
        <v>24</v>
      </c>
      <c r="O378" t="s">
        <v>25</v>
      </c>
      <c r="Q378" s="1">
        <v>43852</v>
      </c>
    </row>
    <row r="379" spans="1:17" x14ac:dyDescent="0.5">
      <c r="A379" t="s">
        <v>344</v>
      </c>
      <c r="B379" t="s">
        <v>348</v>
      </c>
      <c r="C379" t="s">
        <v>19</v>
      </c>
      <c r="D379" s="1">
        <v>43295</v>
      </c>
      <c r="E379" s="1">
        <v>44574</v>
      </c>
      <c r="F379" t="s">
        <v>202</v>
      </c>
      <c r="G379">
        <v>1</v>
      </c>
      <c r="H379" t="s">
        <v>21</v>
      </c>
      <c r="I379" t="s">
        <v>22</v>
      </c>
      <c r="J379" t="s">
        <v>33</v>
      </c>
      <c r="K379" t="s">
        <v>66</v>
      </c>
      <c r="L379">
        <v>5712.04</v>
      </c>
      <c r="M379" s="1">
        <v>44118</v>
      </c>
      <c r="N379" t="s">
        <v>24</v>
      </c>
      <c r="O379" t="s">
        <v>25</v>
      </c>
      <c r="Q379" s="1">
        <v>43852</v>
      </c>
    </row>
    <row r="380" spans="1:17" x14ac:dyDescent="0.5">
      <c r="A380" t="s">
        <v>344</v>
      </c>
      <c r="B380" t="s">
        <v>348</v>
      </c>
      <c r="C380" t="s">
        <v>19</v>
      </c>
      <c r="D380" s="1">
        <v>43295</v>
      </c>
      <c r="E380" s="1">
        <v>44574</v>
      </c>
      <c r="F380" t="s">
        <v>202</v>
      </c>
      <c r="G380">
        <v>1</v>
      </c>
      <c r="H380" t="s">
        <v>21</v>
      </c>
      <c r="I380" t="s">
        <v>22</v>
      </c>
      <c r="J380" t="s">
        <v>33</v>
      </c>
      <c r="K380" t="s">
        <v>66</v>
      </c>
      <c r="L380">
        <v>5712.04</v>
      </c>
      <c r="M380" s="1">
        <v>44210</v>
      </c>
      <c r="N380" t="s">
        <v>24</v>
      </c>
      <c r="O380" t="s">
        <v>25</v>
      </c>
      <c r="Q380" s="1">
        <v>43852</v>
      </c>
    </row>
    <row r="381" spans="1:17" x14ac:dyDescent="0.5">
      <c r="A381" t="s">
        <v>344</v>
      </c>
      <c r="B381" t="s">
        <v>348</v>
      </c>
      <c r="C381" t="s">
        <v>19</v>
      </c>
      <c r="D381" s="1">
        <v>43295</v>
      </c>
      <c r="E381" s="1">
        <v>44574</v>
      </c>
      <c r="F381" t="s">
        <v>202</v>
      </c>
      <c r="G381">
        <v>1</v>
      </c>
      <c r="H381" t="s">
        <v>21</v>
      </c>
      <c r="I381" t="s">
        <v>22</v>
      </c>
      <c r="J381" t="s">
        <v>33</v>
      </c>
      <c r="K381" t="s">
        <v>66</v>
      </c>
      <c r="L381">
        <v>5712.04</v>
      </c>
      <c r="M381" s="1">
        <v>44300</v>
      </c>
      <c r="N381" t="s">
        <v>24</v>
      </c>
      <c r="O381" t="s">
        <v>25</v>
      </c>
      <c r="Q381" s="1">
        <v>43852</v>
      </c>
    </row>
    <row r="382" spans="1:17" x14ac:dyDescent="0.5">
      <c r="A382" t="s">
        <v>344</v>
      </c>
      <c r="B382" t="s">
        <v>348</v>
      </c>
      <c r="C382" t="s">
        <v>19</v>
      </c>
      <c r="D382" s="1">
        <v>43295</v>
      </c>
      <c r="E382" s="1">
        <v>44574</v>
      </c>
      <c r="F382" t="s">
        <v>202</v>
      </c>
      <c r="G382">
        <v>1</v>
      </c>
      <c r="H382" t="s">
        <v>21</v>
      </c>
      <c r="I382" t="s">
        <v>22</v>
      </c>
      <c r="J382" t="s">
        <v>33</v>
      </c>
      <c r="K382" t="s">
        <v>66</v>
      </c>
      <c r="L382">
        <v>5712.04</v>
      </c>
      <c r="M382" s="1">
        <v>44391</v>
      </c>
      <c r="N382" t="s">
        <v>24</v>
      </c>
      <c r="O382" t="s">
        <v>25</v>
      </c>
      <c r="Q382" s="1">
        <v>43852</v>
      </c>
    </row>
    <row r="383" spans="1:17" x14ac:dyDescent="0.5">
      <c r="A383" t="s">
        <v>344</v>
      </c>
      <c r="B383" t="s">
        <v>348</v>
      </c>
      <c r="C383" t="s">
        <v>19</v>
      </c>
      <c r="D383" s="1">
        <v>43295</v>
      </c>
      <c r="E383" s="1">
        <v>44574</v>
      </c>
      <c r="F383" t="s">
        <v>202</v>
      </c>
      <c r="G383">
        <v>1</v>
      </c>
      <c r="H383" t="s">
        <v>21</v>
      </c>
      <c r="I383" t="s">
        <v>22</v>
      </c>
      <c r="J383" t="s">
        <v>33</v>
      </c>
      <c r="K383" t="s">
        <v>66</v>
      </c>
      <c r="L383">
        <v>5712.04</v>
      </c>
      <c r="M383" s="1">
        <v>43387</v>
      </c>
      <c r="N383" t="s">
        <v>24</v>
      </c>
      <c r="O383" t="s">
        <v>25</v>
      </c>
      <c r="Q383" s="1">
        <v>43852</v>
      </c>
    </row>
    <row r="384" spans="1:17" x14ac:dyDescent="0.5">
      <c r="A384" t="s">
        <v>344</v>
      </c>
      <c r="B384" t="s">
        <v>348</v>
      </c>
      <c r="C384" t="s">
        <v>19</v>
      </c>
      <c r="D384" s="1">
        <v>43295</v>
      </c>
      <c r="E384" s="1">
        <v>44574</v>
      </c>
      <c r="F384" t="s">
        <v>202</v>
      </c>
      <c r="G384">
        <v>1</v>
      </c>
      <c r="H384" t="s">
        <v>21</v>
      </c>
      <c r="I384" t="s">
        <v>22</v>
      </c>
      <c r="J384" t="s">
        <v>33</v>
      </c>
      <c r="K384" t="s">
        <v>66</v>
      </c>
      <c r="L384">
        <v>5712.04</v>
      </c>
      <c r="M384" s="1">
        <v>43479</v>
      </c>
      <c r="N384" t="s">
        <v>24</v>
      </c>
      <c r="O384" t="s">
        <v>25</v>
      </c>
      <c r="Q384" s="1">
        <v>43852</v>
      </c>
    </row>
    <row r="385" spans="1:17" x14ac:dyDescent="0.5">
      <c r="A385" t="s">
        <v>344</v>
      </c>
      <c r="B385" t="s">
        <v>348</v>
      </c>
      <c r="C385" t="s">
        <v>19</v>
      </c>
      <c r="D385" s="1">
        <v>43295</v>
      </c>
      <c r="E385" s="1">
        <v>44574</v>
      </c>
      <c r="F385" t="s">
        <v>202</v>
      </c>
      <c r="G385">
        <v>1</v>
      </c>
      <c r="H385" t="s">
        <v>21</v>
      </c>
      <c r="I385" t="s">
        <v>22</v>
      </c>
      <c r="J385" t="s">
        <v>33</v>
      </c>
      <c r="K385" t="s">
        <v>66</v>
      </c>
      <c r="L385">
        <v>5712.04</v>
      </c>
      <c r="M385" s="1">
        <v>43569</v>
      </c>
      <c r="N385" t="s">
        <v>24</v>
      </c>
      <c r="O385" t="s">
        <v>25</v>
      </c>
      <c r="Q385" s="1">
        <v>43852</v>
      </c>
    </row>
    <row r="386" spans="1:17" x14ac:dyDescent="0.5">
      <c r="A386" t="s">
        <v>344</v>
      </c>
      <c r="B386" t="s">
        <v>348</v>
      </c>
      <c r="C386" t="s">
        <v>19</v>
      </c>
      <c r="D386" s="1">
        <v>43295</v>
      </c>
      <c r="E386" s="1">
        <v>44574</v>
      </c>
      <c r="F386" t="s">
        <v>202</v>
      </c>
      <c r="G386">
        <v>1</v>
      </c>
      <c r="H386" t="s">
        <v>21</v>
      </c>
      <c r="I386" t="s">
        <v>22</v>
      </c>
      <c r="J386" t="s">
        <v>33</v>
      </c>
      <c r="K386" t="s">
        <v>66</v>
      </c>
      <c r="L386">
        <v>5712.04</v>
      </c>
      <c r="M386" s="1">
        <v>43660</v>
      </c>
      <c r="N386" t="s">
        <v>24</v>
      </c>
      <c r="O386" t="s">
        <v>25</v>
      </c>
      <c r="Q386" s="1">
        <v>43852</v>
      </c>
    </row>
    <row r="387" spans="1:17" x14ac:dyDescent="0.5">
      <c r="A387" t="s">
        <v>344</v>
      </c>
      <c r="B387" t="s">
        <v>348</v>
      </c>
      <c r="C387" t="s">
        <v>19</v>
      </c>
      <c r="D387" s="1">
        <v>43295</v>
      </c>
      <c r="E387" s="1">
        <v>44574</v>
      </c>
      <c r="F387" t="s">
        <v>202</v>
      </c>
      <c r="G387">
        <v>1</v>
      </c>
      <c r="H387" t="s">
        <v>21</v>
      </c>
      <c r="I387" t="s">
        <v>22</v>
      </c>
      <c r="J387" t="s">
        <v>33</v>
      </c>
      <c r="K387" t="s">
        <v>66</v>
      </c>
      <c r="L387">
        <v>15832.08</v>
      </c>
      <c r="M387" s="1">
        <v>43295</v>
      </c>
      <c r="N387" t="s">
        <v>24</v>
      </c>
      <c r="O387" t="s">
        <v>25</v>
      </c>
      <c r="Q387" s="1">
        <v>43852</v>
      </c>
    </row>
    <row r="388" spans="1:17" x14ac:dyDescent="0.5">
      <c r="A388" t="s">
        <v>344</v>
      </c>
      <c r="B388" t="s">
        <v>349</v>
      </c>
      <c r="C388" t="s">
        <v>19</v>
      </c>
      <c r="D388" s="1">
        <v>43295</v>
      </c>
      <c r="E388" s="1">
        <v>44574</v>
      </c>
      <c r="F388" t="s">
        <v>202</v>
      </c>
      <c r="G388">
        <v>1</v>
      </c>
      <c r="H388" t="s">
        <v>21</v>
      </c>
      <c r="I388" t="s">
        <v>22</v>
      </c>
      <c r="J388" t="s">
        <v>33</v>
      </c>
      <c r="K388" t="s">
        <v>66</v>
      </c>
      <c r="L388">
        <v>11198.33</v>
      </c>
      <c r="M388" s="1">
        <v>44391</v>
      </c>
      <c r="N388" t="s">
        <v>24</v>
      </c>
      <c r="O388" t="s">
        <v>25</v>
      </c>
      <c r="Q388" s="1">
        <v>43852</v>
      </c>
    </row>
    <row r="389" spans="1:17" x14ac:dyDescent="0.5">
      <c r="A389" t="s">
        <v>344</v>
      </c>
      <c r="B389" t="s">
        <v>349</v>
      </c>
      <c r="C389" t="s">
        <v>19</v>
      </c>
      <c r="D389" s="1">
        <v>43295</v>
      </c>
      <c r="E389" s="1">
        <v>44574</v>
      </c>
      <c r="F389" t="s">
        <v>202</v>
      </c>
      <c r="G389">
        <v>1</v>
      </c>
      <c r="H389" t="s">
        <v>21</v>
      </c>
      <c r="I389" t="s">
        <v>22</v>
      </c>
      <c r="J389" t="s">
        <v>33</v>
      </c>
      <c r="K389" t="s">
        <v>66</v>
      </c>
      <c r="L389">
        <v>11279.55</v>
      </c>
      <c r="M389" s="1">
        <v>43844</v>
      </c>
      <c r="N389" t="s">
        <v>24</v>
      </c>
      <c r="O389" t="s">
        <v>25</v>
      </c>
      <c r="Q389" s="1">
        <v>43852</v>
      </c>
    </row>
    <row r="390" spans="1:17" x14ac:dyDescent="0.5">
      <c r="A390" t="s">
        <v>344</v>
      </c>
      <c r="B390" t="s">
        <v>349</v>
      </c>
      <c r="C390" t="s">
        <v>19</v>
      </c>
      <c r="D390" s="1">
        <v>43295</v>
      </c>
      <c r="E390" s="1">
        <v>44574</v>
      </c>
      <c r="F390" t="s">
        <v>202</v>
      </c>
      <c r="G390">
        <v>1</v>
      </c>
      <c r="H390" t="s">
        <v>21</v>
      </c>
      <c r="I390" t="s">
        <v>22</v>
      </c>
      <c r="J390" t="s">
        <v>33</v>
      </c>
      <c r="K390" t="s">
        <v>66</v>
      </c>
      <c r="L390">
        <v>11279.55</v>
      </c>
      <c r="M390" s="1">
        <v>43935</v>
      </c>
      <c r="N390" t="s">
        <v>24</v>
      </c>
      <c r="O390" t="s">
        <v>25</v>
      </c>
      <c r="Q390" s="1">
        <v>43852</v>
      </c>
    </row>
    <row r="391" spans="1:17" x14ac:dyDescent="0.5">
      <c r="A391" t="s">
        <v>344</v>
      </c>
      <c r="B391" t="s">
        <v>349</v>
      </c>
      <c r="C391" t="s">
        <v>19</v>
      </c>
      <c r="D391" s="1">
        <v>43295</v>
      </c>
      <c r="E391" s="1">
        <v>44574</v>
      </c>
      <c r="F391" t="s">
        <v>202</v>
      </c>
      <c r="G391">
        <v>1</v>
      </c>
      <c r="H391" t="s">
        <v>21</v>
      </c>
      <c r="I391" t="s">
        <v>22</v>
      </c>
      <c r="J391" t="s">
        <v>33</v>
      </c>
      <c r="K391" t="s">
        <v>66</v>
      </c>
      <c r="L391">
        <v>11279.55</v>
      </c>
      <c r="M391" s="1">
        <v>44026</v>
      </c>
      <c r="N391" t="s">
        <v>24</v>
      </c>
      <c r="O391" t="s">
        <v>25</v>
      </c>
      <c r="Q391" s="1">
        <v>43852</v>
      </c>
    </row>
    <row r="392" spans="1:17" x14ac:dyDescent="0.5">
      <c r="A392" t="s">
        <v>344</v>
      </c>
      <c r="B392" t="s">
        <v>349</v>
      </c>
      <c r="C392" t="s">
        <v>19</v>
      </c>
      <c r="D392" s="1">
        <v>43295</v>
      </c>
      <c r="E392" s="1">
        <v>44574</v>
      </c>
      <c r="F392" t="s">
        <v>202</v>
      </c>
      <c r="G392">
        <v>1</v>
      </c>
      <c r="H392" t="s">
        <v>21</v>
      </c>
      <c r="I392" t="s">
        <v>22</v>
      </c>
      <c r="J392" t="s">
        <v>33</v>
      </c>
      <c r="K392" t="s">
        <v>66</v>
      </c>
      <c r="L392">
        <v>11279.55</v>
      </c>
      <c r="M392" s="1">
        <v>44118</v>
      </c>
      <c r="N392" t="s">
        <v>24</v>
      </c>
      <c r="O392" t="s">
        <v>25</v>
      </c>
      <c r="Q392" s="1">
        <v>43852</v>
      </c>
    </row>
    <row r="393" spans="1:17" x14ac:dyDescent="0.5">
      <c r="A393" t="s">
        <v>344</v>
      </c>
      <c r="B393" t="s">
        <v>349</v>
      </c>
      <c r="C393" t="s">
        <v>19</v>
      </c>
      <c r="D393" s="1">
        <v>43295</v>
      </c>
      <c r="E393" s="1">
        <v>44574</v>
      </c>
      <c r="F393" t="s">
        <v>202</v>
      </c>
      <c r="G393">
        <v>1</v>
      </c>
      <c r="H393" t="s">
        <v>21</v>
      </c>
      <c r="I393" t="s">
        <v>22</v>
      </c>
      <c r="J393" t="s">
        <v>33</v>
      </c>
      <c r="K393" t="s">
        <v>66</v>
      </c>
      <c r="L393">
        <v>11279.55</v>
      </c>
      <c r="M393" s="1">
        <v>44210</v>
      </c>
      <c r="N393" t="s">
        <v>24</v>
      </c>
      <c r="O393" t="s">
        <v>25</v>
      </c>
      <c r="Q393" s="1">
        <v>43852</v>
      </c>
    </row>
    <row r="394" spans="1:17" x14ac:dyDescent="0.5">
      <c r="A394" t="s">
        <v>344</v>
      </c>
      <c r="B394" t="s">
        <v>349</v>
      </c>
      <c r="C394" t="s">
        <v>19</v>
      </c>
      <c r="D394" s="1">
        <v>43295</v>
      </c>
      <c r="E394" s="1">
        <v>44574</v>
      </c>
      <c r="F394" t="s">
        <v>202</v>
      </c>
      <c r="G394">
        <v>1</v>
      </c>
      <c r="H394" t="s">
        <v>21</v>
      </c>
      <c r="I394" t="s">
        <v>22</v>
      </c>
      <c r="J394" t="s">
        <v>33</v>
      </c>
      <c r="K394" t="s">
        <v>66</v>
      </c>
      <c r="L394">
        <v>11279.55</v>
      </c>
      <c r="M394" s="1">
        <v>44300</v>
      </c>
      <c r="N394" t="s">
        <v>24</v>
      </c>
      <c r="O394" t="s">
        <v>25</v>
      </c>
      <c r="Q394" s="1">
        <v>43852</v>
      </c>
    </row>
    <row r="395" spans="1:17" x14ac:dyDescent="0.5">
      <c r="A395" t="s">
        <v>344</v>
      </c>
      <c r="B395" t="s">
        <v>349</v>
      </c>
      <c r="C395" t="s">
        <v>19</v>
      </c>
      <c r="D395" s="1">
        <v>43295</v>
      </c>
      <c r="E395" s="1">
        <v>44574</v>
      </c>
      <c r="F395" t="s">
        <v>202</v>
      </c>
      <c r="G395">
        <v>1</v>
      </c>
      <c r="H395" t="s">
        <v>21</v>
      </c>
      <c r="I395" t="s">
        <v>22</v>
      </c>
      <c r="J395" t="s">
        <v>33</v>
      </c>
      <c r="K395" t="s">
        <v>66</v>
      </c>
      <c r="L395">
        <v>11279.55</v>
      </c>
      <c r="M395" s="1">
        <v>43387</v>
      </c>
      <c r="N395" t="s">
        <v>24</v>
      </c>
      <c r="O395" t="s">
        <v>25</v>
      </c>
      <c r="Q395" s="1">
        <v>43852</v>
      </c>
    </row>
    <row r="396" spans="1:17" x14ac:dyDescent="0.5">
      <c r="A396" t="s">
        <v>344</v>
      </c>
      <c r="B396" t="s">
        <v>349</v>
      </c>
      <c r="C396" t="s">
        <v>19</v>
      </c>
      <c r="D396" s="1">
        <v>43295</v>
      </c>
      <c r="E396" s="1">
        <v>44574</v>
      </c>
      <c r="F396" t="s">
        <v>202</v>
      </c>
      <c r="G396">
        <v>1</v>
      </c>
      <c r="H396" t="s">
        <v>21</v>
      </c>
      <c r="I396" t="s">
        <v>22</v>
      </c>
      <c r="J396" t="s">
        <v>33</v>
      </c>
      <c r="K396" t="s">
        <v>66</v>
      </c>
      <c r="L396">
        <v>11279.55</v>
      </c>
      <c r="M396" s="1">
        <v>43479</v>
      </c>
      <c r="N396" t="s">
        <v>24</v>
      </c>
      <c r="O396" t="s">
        <v>25</v>
      </c>
      <c r="Q396" s="1">
        <v>43852</v>
      </c>
    </row>
    <row r="397" spans="1:17" x14ac:dyDescent="0.5">
      <c r="A397" t="s">
        <v>344</v>
      </c>
      <c r="B397" t="s">
        <v>349</v>
      </c>
      <c r="C397" t="s">
        <v>19</v>
      </c>
      <c r="D397" s="1">
        <v>43295</v>
      </c>
      <c r="E397" s="1">
        <v>44574</v>
      </c>
      <c r="F397" t="s">
        <v>202</v>
      </c>
      <c r="G397">
        <v>1</v>
      </c>
      <c r="H397" t="s">
        <v>21</v>
      </c>
      <c r="I397" t="s">
        <v>22</v>
      </c>
      <c r="J397" t="s">
        <v>33</v>
      </c>
      <c r="K397" t="s">
        <v>66</v>
      </c>
      <c r="L397">
        <v>11279.55</v>
      </c>
      <c r="M397" s="1">
        <v>43569</v>
      </c>
      <c r="N397" t="s">
        <v>24</v>
      </c>
      <c r="O397" t="s">
        <v>25</v>
      </c>
      <c r="Q397" s="1">
        <v>43852</v>
      </c>
    </row>
    <row r="398" spans="1:17" x14ac:dyDescent="0.5">
      <c r="A398" t="s">
        <v>344</v>
      </c>
      <c r="B398" t="s">
        <v>349</v>
      </c>
      <c r="C398" t="s">
        <v>19</v>
      </c>
      <c r="D398" s="1">
        <v>43295</v>
      </c>
      <c r="E398" s="1">
        <v>44574</v>
      </c>
      <c r="F398" t="s">
        <v>202</v>
      </c>
      <c r="G398">
        <v>1</v>
      </c>
      <c r="H398" t="s">
        <v>21</v>
      </c>
      <c r="I398" t="s">
        <v>22</v>
      </c>
      <c r="J398" t="s">
        <v>33</v>
      </c>
      <c r="K398" t="s">
        <v>66</v>
      </c>
      <c r="L398">
        <v>11279.55</v>
      </c>
      <c r="M398" s="1">
        <v>43660</v>
      </c>
      <c r="N398" t="s">
        <v>24</v>
      </c>
      <c r="O398" t="s">
        <v>25</v>
      </c>
      <c r="Q398" s="1">
        <v>43852</v>
      </c>
    </row>
    <row r="399" spans="1:17" x14ac:dyDescent="0.5">
      <c r="A399" t="s">
        <v>344</v>
      </c>
      <c r="B399" t="s">
        <v>349</v>
      </c>
      <c r="C399" t="s">
        <v>19</v>
      </c>
      <c r="D399" s="1">
        <v>43295</v>
      </c>
      <c r="E399" s="1">
        <v>44574</v>
      </c>
      <c r="F399" t="s">
        <v>202</v>
      </c>
      <c r="G399">
        <v>1</v>
      </c>
      <c r="H399" t="s">
        <v>21</v>
      </c>
      <c r="I399" t="s">
        <v>22</v>
      </c>
      <c r="J399" t="s">
        <v>33</v>
      </c>
      <c r="K399" t="s">
        <v>66</v>
      </c>
      <c r="L399">
        <v>11279.55</v>
      </c>
      <c r="M399" s="1">
        <v>43752</v>
      </c>
      <c r="N399" t="s">
        <v>24</v>
      </c>
      <c r="O399" t="s">
        <v>25</v>
      </c>
      <c r="Q399" s="1">
        <v>43852</v>
      </c>
    </row>
    <row r="400" spans="1:17" x14ac:dyDescent="0.5">
      <c r="A400" t="s">
        <v>344</v>
      </c>
      <c r="B400" t="s">
        <v>349</v>
      </c>
      <c r="C400" t="s">
        <v>19</v>
      </c>
      <c r="D400" s="1">
        <v>43295</v>
      </c>
      <c r="E400" s="1">
        <v>44574</v>
      </c>
      <c r="F400" t="s">
        <v>202</v>
      </c>
      <c r="G400">
        <v>1</v>
      </c>
      <c r="H400" t="s">
        <v>21</v>
      </c>
      <c r="I400" t="s">
        <v>22</v>
      </c>
      <c r="J400" t="s">
        <v>33</v>
      </c>
      <c r="K400" t="s">
        <v>66</v>
      </c>
      <c r="L400">
        <v>27256.2</v>
      </c>
      <c r="M400" s="1">
        <v>43295</v>
      </c>
      <c r="N400" t="s">
        <v>24</v>
      </c>
      <c r="O400" t="s">
        <v>25</v>
      </c>
      <c r="Q400" s="1">
        <v>43852</v>
      </c>
    </row>
    <row r="401" spans="1:17" x14ac:dyDescent="0.5">
      <c r="A401" t="s">
        <v>344</v>
      </c>
      <c r="B401" t="s">
        <v>350</v>
      </c>
      <c r="C401" t="s">
        <v>19</v>
      </c>
      <c r="D401" s="1">
        <v>43448</v>
      </c>
      <c r="E401" s="1">
        <v>44360</v>
      </c>
      <c r="F401" t="s">
        <v>202</v>
      </c>
      <c r="G401">
        <v>1</v>
      </c>
      <c r="H401" t="s">
        <v>21</v>
      </c>
      <c r="I401" t="s">
        <v>22</v>
      </c>
      <c r="J401" t="s">
        <v>33</v>
      </c>
      <c r="K401" t="s">
        <v>66</v>
      </c>
      <c r="L401">
        <v>2426.0300000000002</v>
      </c>
      <c r="M401" s="1">
        <v>44179</v>
      </c>
      <c r="N401" t="s">
        <v>24</v>
      </c>
      <c r="O401" t="s">
        <v>25</v>
      </c>
      <c r="Q401" s="1">
        <v>43852</v>
      </c>
    </row>
    <row r="402" spans="1:17" x14ac:dyDescent="0.5">
      <c r="A402" t="s">
        <v>344</v>
      </c>
      <c r="B402" t="s">
        <v>350</v>
      </c>
      <c r="C402" t="s">
        <v>19</v>
      </c>
      <c r="D402" s="1">
        <v>43448</v>
      </c>
      <c r="E402" s="1">
        <v>44360</v>
      </c>
      <c r="F402" t="s">
        <v>202</v>
      </c>
      <c r="G402">
        <v>1</v>
      </c>
      <c r="H402" t="s">
        <v>21</v>
      </c>
      <c r="I402" t="s">
        <v>22</v>
      </c>
      <c r="J402" t="s">
        <v>33</v>
      </c>
      <c r="K402" t="s">
        <v>66</v>
      </c>
      <c r="L402">
        <v>2426.06</v>
      </c>
      <c r="M402" s="1">
        <v>43813</v>
      </c>
      <c r="N402" t="s">
        <v>24</v>
      </c>
      <c r="O402" t="s">
        <v>25</v>
      </c>
      <c r="Q402" s="1">
        <v>43852</v>
      </c>
    </row>
    <row r="403" spans="1:17" x14ac:dyDescent="0.5">
      <c r="A403" t="s">
        <v>344</v>
      </c>
      <c r="B403" t="s">
        <v>350</v>
      </c>
      <c r="C403" t="s">
        <v>19</v>
      </c>
      <c r="D403" s="1">
        <v>43448</v>
      </c>
      <c r="E403" s="1">
        <v>44360</v>
      </c>
      <c r="F403" t="s">
        <v>202</v>
      </c>
      <c r="G403">
        <v>1</v>
      </c>
      <c r="H403" t="s">
        <v>21</v>
      </c>
      <c r="I403" t="s">
        <v>22</v>
      </c>
      <c r="J403" t="s">
        <v>33</v>
      </c>
      <c r="K403" t="s">
        <v>66</v>
      </c>
      <c r="L403">
        <v>2426.06</v>
      </c>
      <c r="M403" s="1">
        <v>43904</v>
      </c>
      <c r="N403" t="s">
        <v>24</v>
      </c>
      <c r="O403" t="s">
        <v>25</v>
      </c>
      <c r="Q403" s="1">
        <v>43852</v>
      </c>
    </row>
    <row r="404" spans="1:17" x14ac:dyDescent="0.5">
      <c r="A404" t="s">
        <v>344</v>
      </c>
      <c r="B404" t="s">
        <v>350</v>
      </c>
      <c r="C404" t="s">
        <v>19</v>
      </c>
      <c r="D404" s="1">
        <v>43448</v>
      </c>
      <c r="E404" s="1">
        <v>44360</v>
      </c>
      <c r="F404" t="s">
        <v>202</v>
      </c>
      <c r="G404">
        <v>1</v>
      </c>
      <c r="H404" t="s">
        <v>21</v>
      </c>
      <c r="I404" t="s">
        <v>22</v>
      </c>
      <c r="J404" t="s">
        <v>33</v>
      </c>
      <c r="K404" t="s">
        <v>66</v>
      </c>
      <c r="L404">
        <v>2426.06</v>
      </c>
      <c r="M404" s="1">
        <v>43996</v>
      </c>
      <c r="N404" t="s">
        <v>24</v>
      </c>
      <c r="O404" t="s">
        <v>25</v>
      </c>
      <c r="Q404" s="1">
        <v>43852</v>
      </c>
    </row>
    <row r="405" spans="1:17" x14ac:dyDescent="0.5">
      <c r="A405" t="s">
        <v>344</v>
      </c>
      <c r="B405" t="s">
        <v>350</v>
      </c>
      <c r="C405" t="s">
        <v>19</v>
      </c>
      <c r="D405" s="1">
        <v>43448</v>
      </c>
      <c r="E405" s="1">
        <v>44360</v>
      </c>
      <c r="F405" t="s">
        <v>202</v>
      </c>
      <c r="G405">
        <v>1</v>
      </c>
      <c r="H405" t="s">
        <v>21</v>
      </c>
      <c r="I405" t="s">
        <v>22</v>
      </c>
      <c r="J405" t="s">
        <v>33</v>
      </c>
      <c r="K405" t="s">
        <v>66</v>
      </c>
      <c r="L405">
        <v>2426.06</v>
      </c>
      <c r="M405" s="1">
        <v>44088</v>
      </c>
      <c r="N405" t="s">
        <v>24</v>
      </c>
      <c r="O405" t="s">
        <v>25</v>
      </c>
      <c r="Q405" s="1">
        <v>43852</v>
      </c>
    </row>
    <row r="406" spans="1:17" x14ac:dyDescent="0.5">
      <c r="A406" t="s">
        <v>344</v>
      </c>
      <c r="B406" t="s">
        <v>350</v>
      </c>
      <c r="C406" t="s">
        <v>19</v>
      </c>
      <c r="D406" s="1">
        <v>43448</v>
      </c>
      <c r="E406" s="1">
        <v>44360</v>
      </c>
      <c r="F406" t="s">
        <v>202</v>
      </c>
      <c r="G406">
        <v>1</v>
      </c>
      <c r="H406" t="s">
        <v>21</v>
      </c>
      <c r="I406" t="s">
        <v>22</v>
      </c>
      <c r="J406" t="s">
        <v>33</v>
      </c>
      <c r="K406" t="s">
        <v>66</v>
      </c>
      <c r="L406">
        <v>2426.06</v>
      </c>
      <c r="M406" s="1">
        <v>43538</v>
      </c>
      <c r="N406" t="s">
        <v>24</v>
      </c>
      <c r="O406" t="s">
        <v>25</v>
      </c>
      <c r="Q406" s="1">
        <v>43852</v>
      </c>
    </row>
    <row r="407" spans="1:17" x14ac:dyDescent="0.5">
      <c r="A407" t="s">
        <v>344</v>
      </c>
      <c r="B407" t="s">
        <v>350</v>
      </c>
      <c r="C407" t="s">
        <v>19</v>
      </c>
      <c r="D407" s="1">
        <v>43448</v>
      </c>
      <c r="E407" s="1">
        <v>44360</v>
      </c>
      <c r="F407" t="s">
        <v>202</v>
      </c>
      <c r="G407">
        <v>1</v>
      </c>
      <c r="H407" t="s">
        <v>21</v>
      </c>
      <c r="I407" t="s">
        <v>22</v>
      </c>
      <c r="J407" t="s">
        <v>33</v>
      </c>
      <c r="K407" t="s">
        <v>66</v>
      </c>
      <c r="L407">
        <v>2426.06</v>
      </c>
      <c r="M407" s="1">
        <v>43630</v>
      </c>
      <c r="N407" t="s">
        <v>24</v>
      </c>
      <c r="O407" t="s">
        <v>25</v>
      </c>
      <c r="Q407" s="1">
        <v>43852</v>
      </c>
    </row>
    <row r="408" spans="1:17" x14ac:dyDescent="0.5">
      <c r="A408" t="s">
        <v>344</v>
      </c>
      <c r="B408" t="s">
        <v>350</v>
      </c>
      <c r="C408" t="s">
        <v>19</v>
      </c>
      <c r="D408" s="1">
        <v>43448</v>
      </c>
      <c r="E408" s="1">
        <v>44360</v>
      </c>
      <c r="F408" t="s">
        <v>202</v>
      </c>
      <c r="G408">
        <v>1</v>
      </c>
      <c r="H408" t="s">
        <v>21</v>
      </c>
      <c r="I408" t="s">
        <v>22</v>
      </c>
      <c r="J408" t="s">
        <v>33</v>
      </c>
      <c r="K408" t="s">
        <v>66</v>
      </c>
      <c r="L408">
        <v>2426.06</v>
      </c>
      <c r="M408" s="1">
        <v>43722</v>
      </c>
      <c r="N408" t="s">
        <v>24</v>
      </c>
      <c r="O408" t="s">
        <v>25</v>
      </c>
      <c r="Q408" s="1">
        <v>43852</v>
      </c>
    </row>
    <row r="409" spans="1:17" x14ac:dyDescent="0.5">
      <c r="A409" t="s">
        <v>344</v>
      </c>
      <c r="B409" t="s">
        <v>350</v>
      </c>
      <c r="C409" t="s">
        <v>19</v>
      </c>
      <c r="D409" s="1">
        <v>43448</v>
      </c>
      <c r="E409" s="1">
        <v>44360</v>
      </c>
      <c r="F409" t="s">
        <v>202</v>
      </c>
      <c r="G409">
        <v>1</v>
      </c>
      <c r="H409" t="s">
        <v>21</v>
      </c>
      <c r="I409" t="s">
        <v>22</v>
      </c>
      <c r="J409" t="s">
        <v>33</v>
      </c>
      <c r="K409" t="s">
        <v>66</v>
      </c>
      <c r="L409">
        <v>6203.49</v>
      </c>
      <c r="M409" s="1">
        <v>43448</v>
      </c>
      <c r="N409" t="s">
        <v>24</v>
      </c>
      <c r="O409" t="s">
        <v>25</v>
      </c>
      <c r="Q409" s="1">
        <v>43852</v>
      </c>
    </row>
    <row r="410" spans="1:17" x14ac:dyDescent="0.5">
      <c r="A410" t="s">
        <v>344</v>
      </c>
      <c r="B410" t="s">
        <v>351</v>
      </c>
      <c r="C410" t="s">
        <v>19</v>
      </c>
      <c r="D410" s="1">
        <v>43642</v>
      </c>
      <c r="E410" s="1">
        <v>44007</v>
      </c>
      <c r="F410" t="s">
        <v>32</v>
      </c>
      <c r="G410">
        <v>11</v>
      </c>
      <c r="H410" t="s">
        <v>138</v>
      </c>
      <c r="I410" t="s">
        <v>22</v>
      </c>
      <c r="J410" t="s">
        <v>33</v>
      </c>
      <c r="K410" t="s">
        <v>66</v>
      </c>
      <c r="L410">
        <v>137712.39000000001</v>
      </c>
      <c r="M410" s="1">
        <v>43642</v>
      </c>
      <c r="N410" t="s">
        <v>24</v>
      </c>
      <c r="O410" t="s">
        <v>25</v>
      </c>
      <c r="Q410" s="1">
        <v>43852</v>
      </c>
    </row>
    <row r="411" spans="1:17" x14ac:dyDescent="0.5">
      <c r="A411" t="s">
        <v>344</v>
      </c>
      <c r="B411" t="s">
        <v>352</v>
      </c>
      <c r="C411" t="s">
        <v>19</v>
      </c>
      <c r="D411" s="1">
        <v>43524</v>
      </c>
      <c r="E411" s="1">
        <v>43612</v>
      </c>
      <c r="F411" t="s">
        <v>202</v>
      </c>
      <c r="G411">
        <v>1</v>
      </c>
      <c r="H411" t="s">
        <v>21</v>
      </c>
      <c r="I411" t="s">
        <v>22</v>
      </c>
      <c r="J411" t="s">
        <v>33</v>
      </c>
      <c r="K411" t="s">
        <v>66</v>
      </c>
      <c r="L411">
        <v>21929.45</v>
      </c>
      <c r="M411" s="1">
        <v>43525</v>
      </c>
      <c r="N411" t="s">
        <v>24</v>
      </c>
      <c r="O411" t="s">
        <v>23</v>
      </c>
      <c r="Q411" s="1">
        <v>43852</v>
      </c>
    </row>
    <row r="412" spans="1:17" x14ac:dyDescent="0.5">
      <c r="A412" t="s">
        <v>344</v>
      </c>
      <c r="B412" t="s">
        <v>353</v>
      </c>
      <c r="C412" t="s">
        <v>31</v>
      </c>
      <c r="D412" s="1">
        <v>42611</v>
      </c>
      <c r="E412" s="1">
        <v>43524</v>
      </c>
      <c r="F412" t="s">
        <v>202</v>
      </c>
      <c r="G412">
        <v>1</v>
      </c>
      <c r="H412" t="s">
        <v>21</v>
      </c>
      <c r="I412" t="s">
        <v>22</v>
      </c>
      <c r="J412" t="s">
        <v>33</v>
      </c>
      <c r="K412" t="s">
        <v>66</v>
      </c>
      <c r="L412">
        <v>55777.3</v>
      </c>
      <c r="M412" s="1">
        <v>42611</v>
      </c>
      <c r="N412" t="s">
        <v>24</v>
      </c>
      <c r="O412" t="s">
        <v>25</v>
      </c>
      <c r="Q412" s="1">
        <v>43852</v>
      </c>
    </row>
    <row r="413" spans="1:17" x14ac:dyDescent="0.5">
      <c r="A413" t="s">
        <v>344</v>
      </c>
      <c r="B413" t="s">
        <v>354</v>
      </c>
      <c r="C413" t="s">
        <v>31</v>
      </c>
      <c r="D413" s="1">
        <v>42608</v>
      </c>
      <c r="E413" s="1">
        <v>43337</v>
      </c>
      <c r="F413" t="s">
        <v>202</v>
      </c>
      <c r="G413">
        <v>1</v>
      </c>
      <c r="H413" t="s">
        <v>21</v>
      </c>
      <c r="I413" t="s">
        <v>22</v>
      </c>
      <c r="J413" t="s">
        <v>33</v>
      </c>
      <c r="K413" t="s">
        <v>66</v>
      </c>
      <c r="L413">
        <v>101109.75</v>
      </c>
      <c r="M413" s="1">
        <v>43337</v>
      </c>
      <c r="N413" t="s">
        <v>24</v>
      </c>
      <c r="O413" t="s">
        <v>252</v>
      </c>
      <c r="P413" t="s">
        <v>355</v>
      </c>
      <c r="Q413" s="1">
        <v>43852</v>
      </c>
    </row>
    <row r="414" spans="1:17" x14ac:dyDescent="0.5">
      <c r="A414" t="s">
        <v>26</v>
      </c>
      <c r="B414" t="s">
        <v>356</v>
      </c>
      <c r="C414" t="s">
        <v>19</v>
      </c>
      <c r="D414" s="1">
        <v>42636</v>
      </c>
      <c r="E414" s="1">
        <v>43730</v>
      </c>
      <c r="F414" t="s">
        <v>202</v>
      </c>
      <c r="G414">
        <v>1</v>
      </c>
      <c r="H414" t="s">
        <v>21</v>
      </c>
      <c r="I414" t="s">
        <v>22</v>
      </c>
      <c r="J414" t="s">
        <v>33</v>
      </c>
      <c r="K414" t="s">
        <v>28</v>
      </c>
      <c r="L414">
        <v>31589.25</v>
      </c>
      <c r="M414" s="1">
        <v>43092</v>
      </c>
      <c r="N414" t="s">
        <v>24</v>
      </c>
      <c r="O414" t="s">
        <v>45</v>
      </c>
      <c r="Q414" s="1">
        <v>43852</v>
      </c>
    </row>
    <row r="415" spans="1:17" x14ac:dyDescent="0.5">
      <c r="A415" t="s">
        <v>29</v>
      </c>
      <c r="B415" t="s">
        <v>356</v>
      </c>
      <c r="C415" t="s">
        <v>19</v>
      </c>
      <c r="D415" s="1">
        <v>42636</v>
      </c>
      <c r="E415" s="1">
        <v>43730</v>
      </c>
      <c r="F415" t="s">
        <v>202</v>
      </c>
      <c r="G415">
        <v>1</v>
      </c>
      <c r="H415" t="s">
        <v>21</v>
      </c>
      <c r="I415" t="s">
        <v>22</v>
      </c>
      <c r="J415" t="s">
        <v>33</v>
      </c>
      <c r="K415" t="s">
        <v>28</v>
      </c>
      <c r="L415">
        <v>31589.25</v>
      </c>
      <c r="M415" s="1">
        <v>43182</v>
      </c>
      <c r="N415" t="s">
        <v>24</v>
      </c>
      <c r="O415" t="s">
        <v>45</v>
      </c>
      <c r="Q415" s="1">
        <v>43852</v>
      </c>
    </row>
    <row r="416" spans="1:17" x14ac:dyDescent="0.5">
      <c r="A416" t="s">
        <v>34</v>
      </c>
      <c r="B416" t="s">
        <v>356</v>
      </c>
      <c r="C416" t="s">
        <v>19</v>
      </c>
      <c r="D416" s="1">
        <v>42636</v>
      </c>
      <c r="E416" s="1">
        <v>43730</v>
      </c>
      <c r="F416" t="s">
        <v>202</v>
      </c>
      <c r="G416">
        <v>1</v>
      </c>
      <c r="H416" t="s">
        <v>21</v>
      </c>
      <c r="I416" t="s">
        <v>22</v>
      </c>
      <c r="J416" t="s">
        <v>33</v>
      </c>
      <c r="K416" t="s">
        <v>28</v>
      </c>
      <c r="L416">
        <v>31589.25</v>
      </c>
      <c r="M416" s="1">
        <v>43274</v>
      </c>
      <c r="N416" t="s">
        <v>24</v>
      </c>
      <c r="O416" t="s">
        <v>45</v>
      </c>
      <c r="Q416" s="1">
        <v>43852</v>
      </c>
    </row>
    <row r="417" spans="1:17" x14ac:dyDescent="0.5">
      <c r="A417" t="s">
        <v>35</v>
      </c>
      <c r="B417" t="s">
        <v>356</v>
      </c>
      <c r="C417" t="s">
        <v>19</v>
      </c>
      <c r="D417" s="1">
        <v>42636</v>
      </c>
      <c r="E417" s="1">
        <v>43730</v>
      </c>
      <c r="F417" t="s">
        <v>202</v>
      </c>
      <c r="G417">
        <v>1</v>
      </c>
      <c r="H417" t="s">
        <v>21</v>
      </c>
      <c r="I417" t="s">
        <v>22</v>
      </c>
      <c r="J417" t="s">
        <v>33</v>
      </c>
      <c r="K417" t="s">
        <v>28</v>
      </c>
      <c r="L417">
        <v>31589.25</v>
      </c>
      <c r="M417" s="1">
        <v>43366</v>
      </c>
      <c r="N417" t="s">
        <v>24</v>
      </c>
      <c r="O417" t="s">
        <v>45</v>
      </c>
      <c r="Q417" s="1">
        <v>43852</v>
      </c>
    </row>
    <row r="418" spans="1:17" x14ac:dyDescent="0.5">
      <c r="A418" t="s">
        <v>38</v>
      </c>
      <c r="B418" t="s">
        <v>356</v>
      </c>
      <c r="C418" t="s">
        <v>19</v>
      </c>
      <c r="D418" s="1">
        <v>42636</v>
      </c>
      <c r="E418" s="1">
        <v>43730</v>
      </c>
      <c r="F418" t="s">
        <v>202</v>
      </c>
      <c r="G418">
        <v>1</v>
      </c>
      <c r="H418" t="s">
        <v>21</v>
      </c>
      <c r="I418" t="s">
        <v>22</v>
      </c>
      <c r="J418" t="s">
        <v>33</v>
      </c>
      <c r="K418" t="s">
        <v>28</v>
      </c>
      <c r="L418">
        <v>31589.25</v>
      </c>
      <c r="M418" s="1">
        <v>43457</v>
      </c>
      <c r="N418" t="s">
        <v>24</v>
      </c>
      <c r="O418" t="s">
        <v>45</v>
      </c>
      <c r="Q418" s="1">
        <v>43852</v>
      </c>
    </row>
    <row r="419" spans="1:17" x14ac:dyDescent="0.5">
      <c r="A419" t="s">
        <v>43</v>
      </c>
      <c r="B419" t="s">
        <v>356</v>
      </c>
      <c r="C419" t="s">
        <v>19</v>
      </c>
      <c r="D419" s="1">
        <v>42636</v>
      </c>
      <c r="E419" s="1">
        <v>43730</v>
      </c>
      <c r="F419" t="s">
        <v>202</v>
      </c>
      <c r="G419">
        <v>1</v>
      </c>
      <c r="H419" t="s">
        <v>21</v>
      </c>
      <c r="I419" t="s">
        <v>22</v>
      </c>
      <c r="J419" t="s">
        <v>33</v>
      </c>
      <c r="K419" t="s">
        <v>28</v>
      </c>
      <c r="L419">
        <v>31589.25</v>
      </c>
      <c r="M419" s="1">
        <v>43547</v>
      </c>
      <c r="N419" t="s">
        <v>24</v>
      </c>
      <c r="O419" t="s">
        <v>45</v>
      </c>
      <c r="Q419" s="1">
        <v>43852</v>
      </c>
    </row>
    <row r="420" spans="1:17" x14ac:dyDescent="0.5">
      <c r="A420" t="s">
        <v>46</v>
      </c>
      <c r="B420" t="s">
        <v>356</v>
      </c>
      <c r="C420" t="s">
        <v>19</v>
      </c>
      <c r="D420" s="1">
        <v>42636</v>
      </c>
      <c r="E420" s="1">
        <v>43730</v>
      </c>
      <c r="F420" t="s">
        <v>202</v>
      </c>
      <c r="G420">
        <v>1</v>
      </c>
      <c r="H420" t="s">
        <v>21</v>
      </c>
      <c r="I420" t="s">
        <v>22</v>
      </c>
      <c r="J420" t="s">
        <v>33</v>
      </c>
      <c r="K420" t="s">
        <v>28</v>
      </c>
      <c r="L420">
        <v>31589.3</v>
      </c>
      <c r="M420" s="1">
        <v>42727</v>
      </c>
      <c r="N420" t="s">
        <v>24</v>
      </c>
      <c r="O420" t="s">
        <v>45</v>
      </c>
      <c r="Q420" s="1">
        <v>43852</v>
      </c>
    </row>
    <row r="421" spans="1:17" x14ac:dyDescent="0.5">
      <c r="A421" t="s">
        <v>48</v>
      </c>
      <c r="B421" t="s">
        <v>356</v>
      </c>
      <c r="C421" t="s">
        <v>19</v>
      </c>
      <c r="D421" s="1">
        <v>42636</v>
      </c>
      <c r="E421" s="1">
        <v>43730</v>
      </c>
      <c r="F421" t="s">
        <v>202</v>
      </c>
      <c r="G421">
        <v>1</v>
      </c>
      <c r="H421" t="s">
        <v>21</v>
      </c>
      <c r="I421" t="s">
        <v>22</v>
      </c>
      <c r="J421" t="s">
        <v>33</v>
      </c>
      <c r="K421" t="s">
        <v>28</v>
      </c>
      <c r="L421">
        <v>31589.3</v>
      </c>
      <c r="M421" s="1">
        <v>42817</v>
      </c>
      <c r="N421" t="s">
        <v>24</v>
      </c>
      <c r="O421" t="s">
        <v>45</v>
      </c>
      <c r="Q421" s="1">
        <v>43852</v>
      </c>
    </row>
    <row r="422" spans="1:17" x14ac:dyDescent="0.5">
      <c r="A422" t="s">
        <v>49</v>
      </c>
      <c r="B422" t="s">
        <v>356</v>
      </c>
      <c r="C422" t="s">
        <v>19</v>
      </c>
      <c r="D422" s="1">
        <v>42636</v>
      </c>
      <c r="E422" s="1">
        <v>43730</v>
      </c>
      <c r="F422" t="s">
        <v>202</v>
      </c>
      <c r="G422">
        <v>1</v>
      </c>
      <c r="H422" t="s">
        <v>21</v>
      </c>
      <c r="I422" t="s">
        <v>22</v>
      </c>
      <c r="J422" t="s">
        <v>33</v>
      </c>
      <c r="K422" t="s">
        <v>28</v>
      </c>
      <c r="L422">
        <v>31589.3</v>
      </c>
      <c r="M422" s="1">
        <v>42909</v>
      </c>
      <c r="N422" t="s">
        <v>24</v>
      </c>
      <c r="O422" t="s">
        <v>45</v>
      </c>
      <c r="Q422" s="1">
        <v>43852</v>
      </c>
    </row>
    <row r="423" spans="1:17" x14ac:dyDescent="0.5">
      <c r="A423" t="s">
        <v>51</v>
      </c>
      <c r="B423" t="s">
        <v>356</v>
      </c>
      <c r="C423" t="s">
        <v>19</v>
      </c>
      <c r="D423" s="1">
        <v>42636</v>
      </c>
      <c r="E423" s="1">
        <v>43730</v>
      </c>
      <c r="F423" t="s">
        <v>202</v>
      </c>
      <c r="G423">
        <v>1</v>
      </c>
      <c r="H423" t="s">
        <v>21</v>
      </c>
      <c r="I423" t="s">
        <v>22</v>
      </c>
      <c r="J423" t="s">
        <v>33</v>
      </c>
      <c r="K423" t="s">
        <v>28</v>
      </c>
      <c r="L423">
        <v>31589.3</v>
      </c>
      <c r="M423" s="1">
        <v>43001</v>
      </c>
      <c r="N423" t="s">
        <v>24</v>
      </c>
      <c r="O423" t="s">
        <v>45</v>
      </c>
      <c r="Q423" s="1">
        <v>43852</v>
      </c>
    </row>
    <row r="424" spans="1:17" x14ac:dyDescent="0.5">
      <c r="A424" t="s">
        <v>53</v>
      </c>
      <c r="B424" t="s">
        <v>356</v>
      </c>
      <c r="C424" t="s">
        <v>19</v>
      </c>
      <c r="D424" s="1">
        <v>42636</v>
      </c>
      <c r="E424" s="1">
        <v>43730</v>
      </c>
      <c r="F424" t="s">
        <v>202</v>
      </c>
      <c r="G424">
        <v>1</v>
      </c>
      <c r="H424" t="s">
        <v>21</v>
      </c>
      <c r="I424" t="s">
        <v>22</v>
      </c>
      <c r="J424" t="s">
        <v>33</v>
      </c>
      <c r="K424" t="s">
        <v>28</v>
      </c>
      <c r="L424">
        <v>183374.9</v>
      </c>
      <c r="M424" s="1">
        <v>42636</v>
      </c>
      <c r="N424" t="s">
        <v>24</v>
      </c>
      <c r="O424" t="s">
        <v>45</v>
      </c>
      <c r="Q424" s="1">
        <v>43852</v>
      </c>
    </row>
    <row r="425" spans="1:17" x14ac:dyDescent="0.5">
      <c r="A425" t="s">
        <v>55</v>
      </c>
      <c r="B425" t="s">
        <v>356</v>
      </c>
      <c r="C425" t="s">
        <v>19</v>
      </c>
      <c r="D425" s="1">
        <v>42636</v>
      </c>
      <c r="E425" s="1">
        <v>43730</v>
      </c>
      <c r="F425" t="s">
        <v>202</v>
      </c>
      <c r="G425">
        <v>1</v>
      </c>
      <c r="H425" t="s">
        <v>21</v>
      </c>
      <c r="I425" t="s">
        <v>22</v>
      </c>
      <c r="J425" t="s">
        <v>33</v>
      </c>
      <c r="K425" t="s">
        <v>28</v>
      </c>
      <c r="L425">
        <v>0</v>
      </c>
      <c r="M425" s="1"/>
      <c r="N425" t="s">
        <v>47</v>
      </c>
      <c r="O425" t="s">
        <v>45</v>
      </c>
      <c r="Q425" s="1">
        <v>43852</v>
      </c>
    </row>
    <row r="426" spans="1:17" x14ac:dyDescent="0.5">
      <c r="A426" t="s">
        <v>56</v>
      </c>
      <c r="B426" t="s">
        <v>356</v>
      </c>
      <c r="C426" t="s">
        <v>19</v>
      </c>
      <c r="D426" s="1">
        <v>42636</v>
      </c>
      <c r="E426" s="1">
        <v>43730</v>
      </c>
      <c r="F426" t="s">
        <v>202</v>
      </c>
      <c r="G426">
        <v>1</v>
      </c>
      <c r="H426" t="s">
        <v>21</v>
      </c>
      <c r="I426" t="s">
        <v>22</v>
      </c>
      <c r="J426" t="s">
        <v>33</v>
      </c>
      <c r="K426" t="s">
        <v>28</v>
      </c>
      <c r="L426">
        <v>0</v>
      </c>
      <c r="M426" s="1"/>
      <c r="N426" t="s">
        <v>47</v>
      </c>
      <c r="O426" t="s">
        <v>45</v>
      </c>
      <c r="Q426" s="1">
        <v>43852</v>
      </c>
    </row>
    <row r="427" spans="1:17" x14ac:dyDescent="0.5">
      <c r="A427" t="s">
        <v>58</v>
      </c>
      <c r="B427" t="s">
        <v>356</v>
      </c>
      <c r="C427" t="s">
        <v>19</v>
      </c>
      <c r="D427" s="1">
        <v>42636</v>
      </c>
      <c r="E427" s="1">
        <v>43730</v>
      </c>
      <c r="F427" t="s">
        <v>202</v>
      </c>
      <c r="G427">
        <v>1</v>
      </c>
      <c r="H427" t="s">
        <v>21</v>
      </c>
      <c r="I427" t="s">
        <v>22</v>
      </c>
      <c r="J427" t="s">
        <v>33</v>
      </c>
      <c r="K427" t="s">
        <v>28</v>
      </c>
      <c r="L427">
        <v>0</v>
      </c>
      <c r="M427" s="1"/>
      <c r="N427" t="s">
        <v>47</v>
      </c>
      <c r="O427" t="s">
        <v>45</v>
      </c>
      <c r="Q427" s="1">
        <v>43852</v>
      </c>
    </row>
    <row r="428" spans="1:17" x14ac:dyDescent="0.5">
      <c r="A428" t="s">
        <v>62</v>
      </c>
      <c r="B428" t="s">
        <v>357</v>
      </c>
      <c r="C428" t="s">
        <v>19</v>
      </c>
      <c r="D428" s="1">
        <v>43029</v>
      </c>
      <c r="E428" s="1">
        <v>43393</v>
      </c>
      <c r="F428" t="s">
        <v>32</v>
      </c>
      <c r="G428">
        <v>1</v>
      </c>
      <c r="H428" t="s">
        <v>21</v>
      </c>
      <c r="I428" t="s">
        <v>22</v>
      </c>
      <c r="J428" t="s">
        <v>33</v>
      </c>
      <c r="K428" t="s">
        <v>66</v>
      </c>
      <c r="L428">
        <v>10118.39</v>
      </c>
      <c r="M428" s="1">
        <v>43029</v>
      </c>
      <c r="N428" t="s">
        <v>24</v>
      </c>
      <c r="O428" t="s">
        <v>25</v>
      </c>
      <c r="Q428" s="1">
        <v>43852</v>
      </c>
    </row>
    <row r="429" spans="1:17" x14ac:dyDescent="0.5">
      <c r="A429" t="s">
        <v>63</v>
      </c>
      <c r="B429" t="s">
        <v>358</v>
      </c>
      <c r="C429" t="s">
        <v>19</v>
      </c>
      <c r="D429" s="1">
        <v>43029</v>
      </c>
      <c r="E429" s="1">
        <v>43393</v>
      </c>
      <c r="F429" t="s">
        <v>36</v>
      </c>
      <c r="G429">
        <v>1</v>
      </c>
      <c r="H429" t="s">
        <v>21</v>
      </c>
      <c r="I429" t="s">
        <v>22</v>
      </c>
      <c r="J429" t="s">
        <v>33</v>
      </c>
      <c r="K429" t="s">
        <v>66</v>
      </c>
      <c r="L429">
        <v>2254.63</v>
      </c>
      <c r="M429" s="1">
        <v>43029</v>
      </c>
      <c r="N429" t="s">
        <v>24</v>
      </c>
      <c r="O429" t="s">
        <v>25</v>
      </c>
      <c r="Q429" s="1">
        <v>43852</v>
      </c>
    </row>
    <row r="430" spans="1:17" x14ac:dyDescent="0.5">
      <c r="A430" t="s">
        <v>67</v>
      </c>
      <c r="B430" t="s">
        <v>359</v>
      </c>
      <c r="C430" t="s">
        <v>19</v>
      </c>
      <c r="D430" s="1">
        <v>42290</v>
      </c>
      <c r="E430" s="1">
        <v>43750</v>
      </c>
      <c r="F430" t="s">
        <v>202</v>
      </c>
      <c r="G430">
        <v>11</v>
      </c>
      <c r="H430" t="s">
        <v>138</v>
      </c>
      <c r="I430" t="s">
        <v>22</v>
      </c>
      <c r="J430" t="s">
        <v>33</v>
      </c>
      <c r="K430" t="s">
        <v>66</v>
      </c>
      <c r="L430">
        <v>0</v>
      </c>
      <c r="M430" s="1">
        <v>42290</v>
      </c>
      <c r="N430" t="s">
        <v>24</v>
      </c>
      <c r="O430" t="s">
        <v>25</v>
      </c>
      <c r="Q430" s="1">
        <v>43852</v>
      </c>
    </row>
    <row r="431" spans="1:17" x14ac:dyDescent="0.5">
      <c r="A431" t="s">
        <v>69</v>
      </c>
      <c r="B431" t="s">
        <v>360</v>
      </c>
      <c r="C431" t="s">
        <v>19</v>
      </c>
      <c r="D431" s="1">
        <v>42874</v>
      </c>
      <c r="E431" s="1">
        <v>43787</v>
      </c>
      <c r="F431" t="s">
        <v>202</v>
      </c>
      <c r="G431">
        <v>11</v>
      </c>
      <c r="H431" t="s">
        <v>138</v>
      </c>
      <c r="I431" t="s">
        <v>22</v>
      </c>
      <c r="J431" t="s">
        <v>33</v>
      </c>
      <c r="K431" t="s">
        <v>66</v>
      </c>
      <c r="L431">
        <v>0</v>
      </c>
      <c r="M431" s="1">
        <v>42874</v>
      </c>
      <c r="N431" t="s">
        <v>24</v>
      </c>
      <c r="O431" t="s">
        <v>25</v>
      </c>
      <c r="Q431" s="1">
        <v>43852</v>
      </c>
    </row>
    <row r="432" spans="1:17" x14ac:dyDescent="0.5">
      <c r="A432" t="s">
        <v>71</v>
      </c>
      <c r="B432">
        <v>2309003004</v>
      </c>
      <c r="C432" t="s">
        <v>19</v>
      </c>
      <c r="D432" s="1">
        <v>43249</v>
      </c>
      <c r="E432" s="1">
        <v>46535</v>
      </c>
      <c r="F432" t="s">
        <v>37</v>
      </c>
      <c r="G432">
        <v>1</v>
      </c>
      <c r="H432" t="s">
        <v>21</v>
      </c>
      <c r="I432" t="s">
        <v>22</v>
      </c>
      <c r="J432" t="s">
        <v>37</v>
      </c>
      <c r="K432" t="s">
        <v>66</v>
      </c>
      <c r="L432">
        <v>118750</v>
      </c>
      <c r="M432" s="1">
        <v>43249</v>
      </c>
      <c r="N432" t="s">
        <v>24</v>
      </c>
      <c r="O432" t="s">
        <v>25</v>
      </c>
      <c r="Q432" s="1">
        <v>43852</v>
      </c>
    </row>
    <row r="433" spans="1:17" x14ac:dyDescent="0.5">
      <c r="A433" t="s">
        <v>72</v>
      </c>
      <c r="B433" t="s">
        <v>361</v>
      </c>
      <c r="C433" t="s">
        <v>19</v>
      </c>
      <c r="D433" s="1">
        <v>43340</v>
      </c>
      <c r="E433" s="1">
        <v>44066</v>
      </c>
      <c r="F433" t="s">
        <v>202</v>
      </c>
      <c r="G433">
        <v>1</v>
      </c>
      <c r="H433" t="s">
        <v>21</v>
      </c>
      <c r="I433" t="s">
        <v>22</v>
      </c>
      <c r="J433" t="s">
        <v>33</v>
      </c>
      <c r="K433" t="s">
        <v>28</v>
      </c>
      <c r="L433">
        <v>93516.75</v>
      </c>
      <c r="M433" s="1">
        <v>43958</v>
      </c>
      <c r="N433" t="s">
        <v>24</v>
      </c>
      <c r="O433" t="s">
        <v>25</v>
      </c>
      <c r="Q433" s="1">
        <v>43852</v>
      </c>
    </row>
    <row r="434" spans="1:17" x14ac:dyDescent="0.5">
      <c r="A434" t="s">
        <v>74</v>
      </c>
      <c r="B434" t="s">
        <v>361</v>
      </c>
      <c r="C434" t="s">
        <v>19</v>
      </c>
      <c r="D434" s="1">
        <v>43340</v>
      </c>
      <c r="E434" s="1">
        <v>44066</v>
      </c>
      <c r="F434" t="s">
        <v>202</v>
      </c>
      <c r="G434">
        <v>1</v>
      </c>
      <c r="H434" t="s">
        <v>21</v>
      </c>
      <c r="I434" t="s">
        <v>22</v>
      </c>
      <c r="J434" t="s">
        <v>33</v>
      </c>
      <c r="K434" t="s">
        <v>28</v>
      </c>
      <c r="L434">
        <v>93516.75</v>
      </c>
      <c r="M434" s="1">
        <v>43958</v>
      </c>
      <c r="N434" t="s">
        <v>24</v>
      </c>
      <c r="O434" t="s">
        <v>25</v>
      </c>
      <c r="Q434" s="1">
        <v>43852</v>
      </c>
    </row>
    <row r="435" spans="1:17" x14ac:dyDescent="0.5">
      <c r="A435" t="s">
        <v>76</v>
      </c>
      <c r="B435" t="s">
        <v>361</v>
      </c>
      <c r="C435" t="s">
        <v>19</v>
      </c>
      <c r="D435" s="1">
        <v>43340</v>
      </c>
      <c r="E435" s="1">
        <v>44066</v>
      </c>
      <c r="F435" t="s">
        <v>202</v>
      </c>
      <c r="G435">
        <v>1</v>
      </c>
      <c r="H435" t="s">
        <v>21</v>
      </c>
      <c r="I435" t="s">
        <v>22</v>
      </c>
      <c r="J435" t="s">
        <v>33</v>
      </c>
      <c r="K435" t="s">
        <v>28</v>
      </c>
      <c r="L435">
        <v>93516.75</v>
      </c>
      <c r="M435" s="1">
        <v>43958</v>
      </c>
      <c r="N435" t="s">
        <v>24</v>
      </c>
      <c r="O435" t="s">
        <v>25</v>
      </c>
      <c r="Q435" s="1">
        <v>43852</v>
      </c>
    </row>
    <row r="436" spans="1:17" x14ac:dyDescent="0.5">
      <c r="A436" t="s">
        <v>78</v>
      </c>
      <c r="B436" t="s">
        <v>361</v>
      </c>
      <c r="C436" t="s">
        <v>19</v>
      </c>
      <c r="D436" s="1">
        <v>43340</v>
      </c>
      <c r="E436" s="1">
        <v>44066</v>
      </c>
      <c r="F436" t="s">
        <v>202</v>
      </c>
      <c r="G436">
        <v>1</v>
      </c>
      <c r="H436" t="s">
        <v>21</v>
      </c>
      <c r="I436" t="s">
        <v>22</v>
      </c>
      <c r="J436" t="s">
        <v>33</v>
      </c>
      <c r="K436" t="s">
        <v>28</v>
      </c>
      <c r="L436">
        <v>93517.25</v>
      </c>
      <c r="M436" s="1">
        <v>43855</v>
      </c>
      <c r="N436" t="s">
        <v>24</v>
      </c>
      <c r="O436" t="s">
        <v>25</v>
      </c>
      <c r="Q436" s="1">
        <v>43852</v>
      </c>
    </row>
    <row r="437" spans="1:17" x14ac:dyDescent="0.5">
      <c r="A437" t="s">
        <v>79</v>
      </c>
      <c r="B437" t="s">
        <v>361</v>
      </c>
      <c r="C437" t="s">
        <v>19</v>
      </c>
      <c r="D437" s="1">
        <v>43340</v>
      </c>
      <c r="E437" s="1">
        <v>44066</v>
      </c>
      <c r="F437" t="s">
        <v>202</v>
      </c>
      <c r="G437">
        <v>1</v>
      </c>
      <c r="H437" t="s">
        <v>21</v>
      </c>
      <c r="I437" t="s">
        <v>22</v>
      </c>
      <c r="J437" t="s">
        <v>33</v>
      </c>
      <c r="K437" t="s">
        <v>28</v>
      </c>
      <c r="L437">
        <v>100710.88</v>
      </c>
      <c r="M437" s="1">
        <v>43443</v>
      </c>
      <c r="N437" t="s">
        <v>24</v>
      </c>
      <c r="O437" t="s">
        <v>25</v>
      </c>
      <c r="Q437" s="1">
        <v>43852</v>
      </c>
    </row>
    <row r="438" spans="1:17" x14ac:dyDescent="0.5">
      <c r="A438" t="s">
        <v>80</v>
      </c>
      <c r="B438" t="s">
        <v>361</v>
      </c>
      <c r="C438" t="s">
        <v>19</v>
      </c>
      <c r="D438" s="1">
        <v>43340</v>
      </c>
      <c r="E438" s="1">
        <v>44066</v>
      </c>
      <c r="F438" t="s">
        <v>202</v>
      </c>
      <c r="G438">
        <v>1</v>
      </c>
      <c r="H438" t="s">
        <v>21</v>
      </c>
      <c r="I438" t="s">
        <v>22</v>
      </c>
      <c r="J438" t="s">
        <v>33</v>
      </c>
      <c r="K438" t="s">
        <v>28</v>
      </c>
      <c r="L438">
        <v>100710.88</v>
      </c>
      <c r="M438" s="1">
        <v>43546</v>
      </c>
      <c r="N438" t="s">
        <v>24</v>
      </c>
      <c r="O438" t="s">
        <v>25</v>
      </c>
      <c r="Q438" s="1">
        <v>43852</v>
      </c>
    </row>
    <row r="439" spans="1:17" x14ac:dyDescent="0.5">
      <c r="A439" t="s">
        <v>81</v>
      </c>
      <c r="B439" t="s">
        <v>361</v>
      </c>
      <c r="C439" t="s">
        <v>19</v>
      </c>
      <c r="D439" s="1">
        <v>43340</v>
      </c>
      <c r="E439" s="1">
        <v>44066</v>
      </c>
      <c r="F439" t="s">
        <v>202</v>
      </c>
      <c r="G439">
        <v>1</v>
      </c>
      <c r="H439" t="s">
        <v>21</v>
      </c>
      <c r="I439" t="s">
        <v>22</v>
      </c>
      <c r="J439" t="s">
        <v>33</v>
      </c>
      <c r="K439" t="s">
        <v>28</v>
      </c>
      <c r="L439">
        <v>100710.88</v>
      </c>
      <c r="M439" s="1">
        <v>43649</v>
      </c>
      <c r="N439" t="s">
        <v>24</v>
      </c>
      <c r="O439" t="s">
        <v>25</v>
      </c>
      <c r="Q439" s="1">
        <v>43852</v>
      </c>
    </row>
    <row r="440" spans="1:17" x14ac:dyDescent="0.5">
      <c r="A440" t="s">
        <v>84</v>
      </c>
      <c r="B440" t="s">
        <v>361</v>
      </c>
      <c r="C440" t="s">
        <v>19</v>
      </c>
      <c r="D440" s="1">
        <v>43340</v>
      </c>
      <c r="E440" s="1">
        <v>44066</v>
      </c>
      <c r="F440" t="s">
        <v>202</v>
      </c>
      <c r="G440">
        <v>1</v>
      </c>
      <c r="H440" t="s">
        <v>21</v>
      </c>
      <c r="I440" t="s">
        <v>22</v>
      </c>
      <c r="J440" t="s">
        <v>33</v>
      </c>
      <c r="K440" t="s">
        <v>28</v>
      </c>
      <c r="L440">
        <v>100710.88</v>
      </c>
      <c r="M440" s="1">
        <v>43752</v>
      </c>
      <c r="N440" t="s">
        <v>24</v>
      </c>
      <c r="O440" t="s">
        <v>25</v>
      </c>
      <c r="Q440" s="1">
        <v>43852</v>
      </c>
    </row>
    <row r="441" spans="1:17" x14ac:dyDescent="0.5">
      <c r="A441" t="s">
        <v>86</v>
      </c>
      <c r="B441" t="s">
        <v>361</v>
      </c>
      <c r="C441" t="s">
        <v>19</v>
      </c>
      <c r="D441" s="1">
        <v>43340</v>
      </c>
      <c r="E441" s="1">
        <v>44066</v>
      </c>
      <c r="F441" t="s">
        <v>202</v>
      </c>
      <c r="G441">
        <v>1</v>
      </c>
      <c r="H441" t="s">
        <v>21</v>
      </c>
      <c r="I441" t="s">
        <v>22</v>
      </c>
      <c r="J441" t="s">
        <v>33</v>
      </c>
      <c r="K441" t="s">
        <v>28</v>
      </c>
      <c r="L441">
        <v>129485.38</v>
      </c>
      <c r="M441" s="1">
        <v>43340</v>
      </c>
      <c r="N441" t="s">
        <v>24</v>
      </c>
      <c r="O441" t="s">
        <v>25</v>
      </c>
      <c r="Q441" s="1">
        <v>43852</v>
      </c>
    </row>
    <row r="442" spans="1:17" x14ac:dyDescent="0.5">
      <c r="A442" t="s">
        <v>87</v>
      </c>
      <c r="B442" t="s">
        <v>362</v>
      </c>
      <c r="C442" t="s">
        <v>19</v>
      </c>
      <c r="D442" s="1">
        <v>43440</v>
      </c>
      <c r="E442" s="1">
        <v>43804</v>
      </c>
      <c r="F442" t="s">
        <v>202</v>
      </c>
      <c r="G442">
        <v>1</v>
      </c>
      <c r="H442" t="s">
        <v>21</v>
      </c>
      <c r="I442" t="s">
        <v>22</v>
      </c>
      <c r="J442" t="s">
        <v>33</v>
      </c>
      <c r="K442" t="s">
        <v>66</v>
      </c>
      <c r="L442">
        <v>53711</v>
      </c>
      <c r="M442" s="1">
        <v>43440</v>
      </c>
      <c r="N442" t="s">
        <v>24</v>
      </c>
      <c r="O442" t="s">
        <v>25</v>
      </c>
      <c r="Q442" s="1">
        <v>43852</v>
      </c>
    </row>
    <row r="443" spans="1:17" x14ac:dyDescent="0.5">
      <c r="A443" t="s">
        <v>88</v>
      </c>
      <c r="B443" t="s">
        <v>363</v>
      </c>
      <c r="C443" t="s">
        <v>19</v>
      </c>
      <c r="D443" s="1">
        <v>43550</v>
      </c>
      <c r="E443" s="1">
        <v>44099</v>
      </c>
      <c r="F443" t="s">
        <v>202</v>
      </c>
      <c r="G443">
        <v>1</v>
      </c>
      <c r="H443" t="s">
        <v>21</v>
      </c>
      <c r="I443" t="s">
        <v>22</v>
      </c>
      <c r="J443" t="s">
        <v>33</v>
      </c>
      <c r="K443" t="s">
        <v>66</v>
      </c>
      <c r="L443">
        <v>49576</v>
      </c>
      <c r="M443" s="1">
        <v>43550</v>
      </c>
      <c r="N443" t="s">
        <v>24</v>
      </c>
      <c r="O443" t="s">
        <v>25</v>
      </c>
      <c r="Q443" s="1">
        <v>43852</v>
      </c>
    </row>
    <row r="444" spans="1:17" x14ac:dyDescent="0.5">
      <c r="A444" t="s">
        <v>90</v>
      </c>
      <c r="B444" t="s">
        <v>364</v>
      </c>
      <c r="C444" t="s">
        <v>19</v>
      </c>
      <c r="D444" s="1">
        <v>42634</v>
      </c>
      <c r="E444" s="1">
        <v>44002</v>
      </c>
      <c r="F444" t="s">
        <v>202</v>
      </c>
      <c r="G444">
        <v>1</v>
      </c>
      <c r="H444" t="s">
        <v>21</v>
      </c>
      <c r="I444" t="s">
        <v>22</v>
      </c>
      <c r="J444" t="s">
        <v>33</v>
      </c>
      <c r="K444" t="s">
        <v>66</v>
      </c>
      <c r="L444">
        <v>0</v>
      </c>
      <c r="M444" s="1">
        <v>42634</v>
      </c>
      <c r="N444" t="s">
        <v>24</v>
      </c>
      <c r="O444" t="s">
        <v>45</v>
      </c>
      <c r="Q444" s="1">
        <v>43852</v>
      </c>
    </row>
    <row r="445" spans="1:17" x14ac:dyDescent="0.5">
      <c r="A445" t="s">
        <v>92</v>
      </c>
      <c r="B445" t="s">
        <v>364</v>
      </c>
      <c r="C445" t="s">
        <v>19</v>
      </c>
      <c r="D445" s="1">
        <v>42634</v>
      </c>
      <c r="E445" s="1">
        <v>44002</v>
      </c>
      <c r="F445" t="s">
        <v>202</v>
      </c>
      <c r="G445">
        <v>1</v>
      </c>
      <c r="H445" t="s">
        <v>21</v>
      </c>
      <c r="I445" t="s">
        <v>22</v>
      </c>
      <c r="J445" t="s">
        <v>33</v>
      </c>
      <c r="K445" t="s">
        <v>66</v>
      </c>
      <c r="M445" s="1">
        <v>43364</v>
      </c>
      <c r="N445" t="s">
        <v>47</v>
      </c>
      <c r="O445" t="s">
        <v>45</v>
      </c>
      <c r="Q445" s="1">
        <v>43852</v>
      </c>
    </row>
    <row r="446" spans="1:17" x14ac:dyDescent="0.5">
      <c r="A446" t="s">
        <v>94</v>
      </c>
      <c r="B446" t="s">
        <v>364</v>
      </c>
      <c r="C446" t="s">
        <v>19</v>
      </c>
      <c r="D446" s="1">
        <v>42634</v>
      </c>
      <c r="E446" s="1">
        <v>44002</v>
      </c>
      <c r="F446" t="s">
        <v>202</v>
      </c>
      <c r="G446">
        <v>1</v>
      </c>
      <c r="H446" t="s">
        <v>21</v>
      </c>
      <c r="I446" t="s">
        <v>22</v>
      </c>
      <c r="J446" t="s">
        <v>33</v>
      </c>
      <c r="K446" t="s">
        <v>66</v>
      </c>
      <c r="M446" s="1">
        <v>43455</v>
      </c>
      <c r="N446" t="s">
        <v>47</v>
      </c>
      <c r="O446" t="s">
        <v>45</v>
      </c>
      <c r="Q446" s="1">
        <v>43852</v>
      </c>
    </row>
    <row r="447" spans="1:17" x14ac:dyDescent="0.5">
      <c r="A447" t="s">
        <v>96</v>
      </c>
      <c r="B447" t="s">
        <v>365</v>
      </c>
      <c r="C447" t="s">
        <v>19</v>
      </c>
      <c r="D447" s="1">
        <v>42887</v>
      </c>
      <c r="E447" s="1">
        <v>43616</v>
      </c>
      <c r="F447" t="s">
        <v>202</v>
      </c>
      <c r="G447">
        <v>1</v>
      </c>
      <c r="H447" t="s">
        <v>21</v>
      </c>
      <c r="I447" t="s">
        <v>22</v>
      </c>
      <c r="J447" t="s">
        <v>33</v>
      </c>
      <c r="K447" t="s">
        <v>66</v>
      </c>
      <c r="L447">
        <v>64971</v>
      </c>
      <c r="M447" s="1">
        <v>43435</v>
      </c>
      <c r="N447" t="s">
        <v>24</v>
      </c>
      <c r="O447" t="s">
        <v>25</v>
      </c>
      <c r="Q447" s="1">
        <v>43852</v>
      </c>
    </row>
    <row r="448" spans="1:17" x14ac:dyDescent="0.5">
      <c r="A448" t="s">
        <v>97</v>
      </c>
      <c r="B448" t="s">
        <v>366</v>
      </c>
      <c r="C448" t="s">
        <v>19</v>
      </c>
      <c r="D448" s="1">
        <v>43646</v>
      </c>
      <c r="E448" s="1">
        <v>44011</v>
      </c>
      <c r="F448" t="s">
        <v>20</v>
      </c>
      <c r="G448">
        <v>1</v>
      </c>
      <c r="H448" t="s">
        <v>21</v>
      </c>
      <c r="I448" t="s">
        <v>22</v>
      </c>
      <c r="J448" t="s">
        <v>20</v>
      </c>
      <c r="K448" t="s">
        <v>23</v>
      </c>
      <c r="L448">
        <v>66188.759999999995</v>
      </c>
      <c r="M448" s="1">
        <v>43646</v>
      </c>
      <c r="N448" t="s">
        <v>24</v>
      </c>
      <c r="O448" t="s">
        <v>23</v>
      </c>
      <c r="Q448" s="1">
        <v>43852</v>
      </c>
    </row>
    <row r="449" spans="1:17" x14ac:dyDescent="0.5">
      <c r="A449" t="s">
        <v>98</v>
      </c>
      <c r="B449" t="s">
        <v>367</v>
      </c>
      <c r="C449" t="s">
        <v>19</v>
      </c>
      <c r="D449" s="1">
        <v>42916</v>
      </c>
      <c r="E449" s="1">
        <v>43280</v>
      </c>
      <c r="F449" t="s">
        <v>20</v>
      </c>
      <c r="G449">
        <v>1</v>
      </c>
      <c r="H449" t="s">
        <v>21</v>
      </c>
      <c r="I449" t="s">
        <v>22</v>
      </c>
      <c r="J449" t="s">
        <v>20</v>
      </c>
      <c r="K449" t="s">
        <v>66</v>
      </c>
      <c r="L449">
        <v>37754.15</v>
      </c>
      <c r="M449" s="1">
        <v>43281</v>
      </c>
      <c r="N449" t="s">
        <v>24</v>
      </c>
      <c r="O449" t="s">
        <v>25</v>
      </c>
      <c r="Q449" s="1">
        <v>43852</v>
      </c>
    </row>
    <row r="450" spans="1:17" x14ac:dyDescent="0.5">
      <c r="A450" t="s">
        <v>100</v>
      </c>
      <c r="B450" t="s">
        <v>368</v>
      </c>
      <c r="C450" t="s">
        <v>19</v>
      </c>
      <c r="D450" s="1">
        <v>43709</v>
      </c>
      <c r="E450" s="1">
        <v>44074</v>
      </c>
      <c r="F450" t="s">
        <v>32</v>
      </c>
      <c r="G450">
        <v>1</v>
      </c>
      <c r="H450" t="s">
        <v>21</v>
      </c>
      <c r="I450" t="s">
        <v>22</v>
      </c>
      <c r="J450" t="s">
        <v>54</v>
      </c>
      <c r="K450" t="s">
        <v>23</v>
      </c>
      <c r="L450">
        <v>48325.760000000002</v>
      </c>
      <c r="M450" s="1">
        <v>43709</v>
      </c>
      <c r="N450" t="s">
        <v>24</v>
      </c>
      <c r="O450" t="s">
        <v>23</v>
      </c>
      <c r="Q450" s="1">
        <v>43852</v>
      </c>
    </row>
    <row r="451" spans="1:17" x14ac:dyDescent="0.5">
      <c r="A451" t="s">
        <v>102</v>
      </c>
      <c r="B451">
        <v>3.1030411181E+17</v>
      </c>
      <c r="C451" t="s">
        <v>19</v>
      </c>
      <c r="D451" s="1">
        <v>43344</v>
      </c>
      <c r="E451" s="1">
        <v>43708</v>
      </c>
      <c r="F451" t="s">
        <v>32</v>
      </c>
      <c r="G451">
        <v>1</v>
      </c>
      <c r="H451" t="s">
        <v>21</v>
      </c>
      <c r="I451" t="s">
        <v>22</v>
      </c>
      <c r="J451" t="s">
        <v>54</v>
      </c>
      <c r="K451" t="s">
        <v>23</v>
      </c>
      <c r="L451">
        <v>5763.57</v>
      </c>
      <c r="M451" s="1">
        <v>43344</v>
      </c>
      <c r="N451" t="s">
        <v>24</v>
      </c>
      <c r="O451" t="s">
        <v>25</v>
      </c>
      <c r="Q451" s="1">
        <v>43852</v>
      </c>
    </row>
    <row r="452" spans="1:17" x14ac:dyDescent="0.5">
      <c r="A452" t="s">
        <v>103</v>
      </c>
      <c r="B452">
        <v>3.1030411181E+17</v>
      </c>
      <c r="C452" t="s">
        <v>31</v>
      </c>
      <c r="D452" s="1">
        <v>43344</v>
      </c>
      <c r="E452" s="1">
        <v>43708</v>
      </c>
      <c r="F452" t="s">
        <v>32</v>
      </c>
      <c r="G452">
        <v>1</v>
      </c>
      <c r="H452" t="s">
        <v>21</v>
      </c>
      <c r="I452" t="s">
        <v>22</v>
      </c>
      <c r="J452" t="s">
        <v>54</v>
      </c>
      <c r="K452" t="s">
        <v>23</v>
      </c>
      <c r="L452">
        <v>5721.71</v>
      </c>
      <c r="M452" s="1">
        <v>43344</v>
      </c>
      <c r="N452" t="s">
        <v>24</v>
      </c>
      <c r="O452" t="s">
        <v>25</v>
      </c>
      <c r="Q452" s="1">
        <v>43852</v>
      </c>
    </row>
    <row r="453" spans="1:17" x14ac:dyDescent="0.5">
      <c r="A453" t="s">
        <v>105</v>
      </c>
      <c r="B453" t="s">
        <v>369</v>
      </c>
      <c r="C453" t="s">
        <v>31</v>
      </c>
      <c r="D453" s="1">
        <v>43281</v>
      </c>
      <c r="E453" s="1">
        <v>43645</v>
      </c>
      <c r="F453" t="s">
        <v>20</v>
      </c>
      <c r="G453">
        <v>5</v>
      </c>
      <c r="H453" t="s">
        <v>134</v>
      </c>
      <c r="I453" t="s">
        <v>22</v>
      </c>
      <c r="J453" t="s">
        <v>20</v>
      </c>
      <c r="K453" t="s">
        <v>23</v>
      </c>
      <c r="L453">
        <v>50101.73</v>
      </c>
      <c r="M453" s="1">
        <v>43281</v>
      </c>
      <c r="N453" t="s">
        <v>24</v>
      </c>
      <c r="O453" t="s">
        <v>25</v>
      </c>
      <c r="Q453" s="1">
        <v>43852</v>
      </c>
    </row>
    <row r="454" spans="1:17" x14ac:dyDescent="0.5">
      <c r="A454" t="s">
        <v>106</v>
      </c>
      <c r="B454" t="s">
        <v>370</v>
      </c>
      <c r="C454" t="s">
        <v>31</v>
      </c>
      <c r="D454" s="1">
        <v>43112</v>
      </c>
      <c r="E454" s="1">
        <v>43476</v>
      </c>
      <c r="F454" t="s">
        <v>36</v>
      </c>
      <c r="G454">
        <v>1</v>
      </c>
      <c r="H454" t="s">
        <v>21</v>
      </c>
      <c r="I454" t="s">
        <v>22</v>
      </c>
      <c r="J454" t="s">
        <v>371</v>
      </c>
      <c r="K454" t="s">
        <v>23</v>
      </c>
      <c r="L454">
        <v>2940.49</v>
      </c>
      <c r="M454" s="1">
        <v>43112</v>
      </c>
      <c r="N454" t="s">
        <v>24</v>
      </c>
      <c r="O454" t="s">
        <v>252</v>
      </c>
      <c r="P454" t="s">
        <v>253</v>
      </c>
      <c r="Q454" s="1">
        <v>43852</v>
      </c>
    </row>
    <row r="455" spans="1:17" x14ac:dyDescent="0.5">
      <c r="A455" t="s">
        <v>108</v>
      </c>
      <c r="B455" t="s">
        <v>372</v>
      </c>
      <c r="C455" t="s">
        <v>19</v>
      </c>
      <c r="D455" s="1">
        <v>43477</v>
      </c>
      <c r="E455" s="1">
        <v>43841</v>
      </c>
      <c r="F455" t="s">
        <v>36</v>
      </c>
      <c r="G455">
        <v>1</v>
      </c>
      <c r="H455" t="s">
        <v>21</v>
      </c>
      <c r="I455" t="s">
        <v>22</v>
      </c>
      <c r="J455" t="s">
        <v>371</v>
      </c>
      <c r="K455" t="s">
        <v>23</v>
      </c>
      <c r="L455">
        <v>3073.94</v>
      </c>
      <c r="M455" s="1">
        <v>43477</v>
      </c>
      <c r="N455" t="s">
        <v>24</v>
      </c>
      <c r="O455" t="s">
        <v>23</v>
      </c>
      <c r="Q455" s="1">
        <v>43852</v>
      </c>
    </row>
    <row r="456" spans="1:17" x14ac:dyDescent="0.5">
      <c r="A456" t="s">
        <v>110</v>
      </c>
      <c r="B456" t="s">
        <v>373</v>
      </c>
      <c r="C456" t="s">
        <v>31</v>
      </c>
      <c r="D456" s="1">
        <v>43116</v>
      </c>
      <c r="E456" s="1">
        <v>43480</v>
      </c>
      <c r="F456" t="s">
        <v>20</v>
      </c>
      <c r="G456">
        <v>1</v>
      </c>
      <c r="H456" t="s">
        <v>21</v>
      </c>
      <c r="I456" t="s">
        <v>22</v>
      </c>
      <c r="J456" t="s">
        <v>20</v>
      </c>
      <c r="K456" t="s">
        <v>66</v>
      </c>
      <c r="L456">
        <v>330</v>
      </c>
      <c r="M456" s="1">
        <v>43116</v>
      </c>
      <c r="N456" t="s">
        <v>24</v>
      </c>
      <c r="O456" t="s">
        <v>252</v>
      </c>
      <c r="P456" t="s">
        <v>253</v>
      </c>
      <c r="Q456" s="1">
        <v>43852</v>
      </c>
    </row>
    <row r="457" spans="1:17" x14ac:dyDescent="0.5">
      <c r="A457" t="s">
        <v>112</v>
      </c>
      <c r="B457" t="s">
        <v>374</v>
      </c>
      <c r="C457" t="s">
        <v>19</v>
      </c>
      <c r="D457" s="1">
        <v>43709</v>
      </c>
      <c r="E457" s="1">
        <v>44074</v>
      </c>
      <c r="F457" t="s">
        <v>32</v>
      </c>
      <c r="G457">
        <v>1</v>
      </c>
      <c r="H457" t="s">
        <v>21</v>
      </c>
      <c r="I457" t="s">
        <v>22</v>
      </c>
      <c r="J457" t="s">
        <v>54</v>
      </c>
      <c r="K457" t="s">
        <v>23</v>
      </c>
      <c r="L457">
        <v>20327.63</v>
      </c>
      <c r="M457" s="1">
        <v>43709</v>
      </c>
      <c r="N457" t="s">
        <v>24</v>
      </c>
      <c r="O457" t="s">
        <v>23</v>
      </c>
      <c r="Q457" s="1">
        <v>43852</v>
      </c>
    </row>
    <row r="458" spans="1:17" x14ac:dyDescent="0.5">
      <c r="A458" t="s">
        <v>114</v>
      </c>
      <c r="B458">
        <v>3.1030411181E+17</v>
      </c>
      <c r="C458" t="s">
        <v>31</v>
      </c>
      <c r="D458" s="1">
        <v>43344</v>
      </c>
      <c r="E458" s="1">
        <v>43708</v>
      </c>
      <c r="F458" t="s">
        <v>32</v>
      </c>
      <c r="G458">
        <v>1</v>
      </c>
      <c r="H458" t="s">
        <v>21</v>
      </c>
      <c r="I458" t="s">
        <v>22</v>
      </c>
      <c r="J458" t="s">
        <v>54</v>
      </c>
      <c r="K458" t="s">
        <v>23</v>
      </c>
      <c r="L458">
        <v>2164.3000000000002</v>
      </c>
      <c r="M458" s="1">
        <v>43344</v>
      </c>
      <c r="N458" t="s">
        <v>24</v>
      </c>
      <c r="O458" t="s">
        <v>25</v>
      </c>
      <c r="Q458" s="1">
        <v>43852</v>
      </c>
    </row>
    <row r="459" spans="1:17" x14ac:dyDescent="0.5">
      <c r="A459" t="s">
        <v>115</v>
      </c>
      <c r="B459" t="s">
        <v>375</v>
      </c>
      <c r="C459" t="s">
        <v>19</v>
      </c>
      <c r="D459" s="1">
        <v>43709</v>
      </c>
      <c r="E459" s="1">
        <v>44074</v>
      </c>
      <c r="F459" t="s">
        <v>32</v>
      </c>
      <c r="G459">
        <v>1</v>
      </c>
      <c r="H459" t="s">
        <v>21</v>
      </c>
      <c r="I459" t="s">
        <v>22</v>
      </c>
      <c r="J459" t="s">
        <v>54</v>
      </c>
      <c r="K459" t="s">
        <v>23</v>
      </c>
      <c r="L459">
        <v>27258.799999999999</v>
      </c>
      <c r="M459" s="1">
        <v>43709</v>
      </c>
      <c r="N459" t="s">
        <v>24</v>
      </c>
      <c r="O459" t="s">
        <v>23</v>
      </c>
      <c r="Q459" s="1">
        <v>43852</v>
      </c>
    </row>
    <row r="460" spans="1:17" x14ac:dyDescent="0.5">
      <c r="A460" t="s">
        <v>117</v>
      </c>
      <c r="B460">
        <v>3.1030411181E+17</v>
      </c>
      <c r="C460" t="s">
        <v>31</v>
      </c>
      <c r="D460" s="1">
        <v>43344</v>
      </c>
      <c r="E460" s="1">
        <v>43708</v>
      </c>
      <c r="F460" t="s">
        <v>32</v>
      </c>
      <c r="G460">
        <v>1</v>
      </c>
      <c r="H460" t="s">
        <v>21</v>
      </c>
      <c r="I460" t="s">
        <v>22</v>
      </c>
      <c r="J460" t="s">
        <v>54</v>
      </c>
      <c r="K460" t="s">
        <v>23</v>
      </c>
      <c r="L460">
        <v>5105.2</v>
      </c>
      <c r="M460" s="1">
        <v>43344</v>
      </c>
      <c r="N460" t="s">
        <v>24</v>
      </c>
      <c r="O460" t="s">
        <v>25</v>
      </c>
      <c r="Q460" s="1">
        <v>43852</v>
      </c>
    </row>
    <row r="461" spans="1:17" x14ac:dyDescent="0.5">
      <c r="A461" t="s">
        <v>119</v>
      </c>
      <c r="B461" t="s">
        <v>376</v>
      </c>
      <c r="C461" t="s">
        <v>19</v>
      </c>
      <c r="D461" s="1">
        <v>43847</v>
      </c>
      <c r="E461" s="1">
        <v>43852</v>
      </c>
      <c r="F461" t="s">
        <v>40</v>
      </c>
      <c r="G461">
        <v>1</v>
      </c>
      <c r="H461" t="s">
        <v>21</v>
      </c>
      <c r="I461" t="s">
        <v>22</v>
      </c>
      <c r="J461" t="s">
        <v>61</v>
      </c>
      <c r="K461" t="s">
        <v>66</v>
      </c>
      <c r="L461">
        <v>95.85</v>
      </c>
      <c r="M461" s="1">
        <v>43847</v>
      </c>
      <c r="N461" t="s">
        <v>24</v>
      </c>
      <c r="O461" t="s">
        <v>25</v>
      </c>
      <c r="Q461" s="1">
        <v>43852</v>
      </c>
    </row>
    <row r="462" spans="1:17" x14ac:dyDescent="0.5">
      <c r="A462" t="s">
        <v>120</v>
      </c>
      <c r="B462">
        <v>3.1030411181E+17</v>
      </c>
      <c r="C462" t="s">
        <v>19</v>
      </c>
      <c r="D462" s="1">
        <v>43344</v>
      </c>
      <c r="E462" s="1">
        <v>43708</v>
      </c>
      <c r="F462" t="s">
        <v>32</v>
      </c>
      <c r="G462">
        <v>1</v>
      </c>
      <c r="H462" t="s">
        <v>21</v>
      </c>
      <c r="I462" t="s">
        <v>22</v>
      </c>
      <c r="J462" t="s">
        <v>54</v>
      </c>
      <c r="K462" t="s">
        <v>23</v>
      </c>
      <c r="L462">
        <v>153.76</v>
      </c>
      <c r="M462" s="1">
        <v>43344</v>
      </c>
      <c r="N462" t="s">
        <v>24</v>
      </c>
      <c r="O462" t="s">
        <v>25</v>
      </c>
      <c r="Q462" s="1">
        <v>43852</v>
      </c>
    </row>
    <row r="463" spans="1:17" x14ac:dyDescent="0.5">
      <c r="A463" t="s">
        <v>122</v>
      </c>
      <c r="B463">
        <v>3.1030411181E+17</v>
      </c>
      <c r="C463" t="s">
        <v>19</v>
      </c>
      <c r="D463" s="1">
        <v>43344</v>
      </c>
      <c r="E463" s="1">
        <v>43708</v>
      </c>
      <c r="F463" t="s">
        <v>32</v>
      </c>
      <c r="G463">
        <v>1</v>
      </c>
      <c r="H463" t="s">
        <v>21</v>
      </c>
      <c r="I463" t="s">
        <v>22</v>
      </c>
      <c r="J463" t="s">
        <v>54</v>
      </c>
      <c r="K463" t="s">
        <v>23</v>
      </c>
      <c r="L463">
        <v>3842.38</v>
      </c>
      <c r="M463" s="1">
        <v>43344</v>
      </c>
      <c r="N463" t="s">
        <v>24</v>
      </c>
      <c r="O463" t="s">
        <v>25</v>
      </c>
      <c r="Q463" s="1">
        <v>43852</v>
      </c>
    </row>
    <row r="464" spans="1:17" x14ac:dyDescent="0.5">
      <c r="A464" t="s">
        <v>124</v>
      </c>
      <c r="B464" t="s">
        <v>377</v>
      </c>
      <c r="C464" t="s">
        <v>19</v>
      </c>
      <c r="D464" s="1">
        <v>43720</v>
      </c>
      <c r="E464" s="1">
        <v>44085</v>
      </c>
      <c r="F464" t="s">
        <v>20</v>
      </c>
      <c r="G464">
        <v>1</v>
      </c>
      <c r="H464" t="s">
        <v>21</v>
      </c>
      <c r="I464" t="s">
        <v>22</v>
      </c>
      <c r="J464" t="s">
        <v>61</v>
      </c>
      <c r="K464" t="s">
        <v>23</v>
      </c>
      <c r="L464">
        <v>3300</v>
      </c>
      <c r="M464" s="1">
        <v>43720</v>
      </c>
      <c r="N464" t="s">
        <v>24</v>
      </c>
      <c r="O464" t="s">
        <v>25</v>
      </c>
      <c r="Q464" s="1">
        <v>43852</v>
      </c>
    </row>
    <row r="465" spans="1:17" x14ac:dyDescent="0.5">
      <c r="A465" t="s">
        <v>126</v>
      </c>
      <c r="B465" t="s">
        <v>378</v>
      </c>
      <c r="C465" t="s">
        <v>19</v>
      </c>
      <c r="D465" s="1">
        <v>43405</v>
      </c>
      <c r="E465" s="1">
        <v>43769</v>
      </c>
      <c r="F465" t="s">
        <v>20</v>
      </c>
      <c r="G465">
        <v>1</v>
      </c>
      <c r="H465" t="s">
        <v>21</v>
      </c>
      <c r="I465" t="s">
        <v>22</v>
      </c>
      <c r="J465" t="s">
        <v>20</v>
      </c>
      <c r="K465" t="s">
        <v>23</v>
      </c>
      <c r="L465">
        <v>7424.84</v>
      </c>
      <c r="M465" s="1">
        <v>43405</v>
      </c>
      <c r="N465" t="s">
        <v>24</v>
      </c>
      <c r="O465" t="s">
        <v>23</v>
      </c>
      <c r="Q465" s="1">
        <v>43852</v>
      </c>
    </row>
    <row r="466" spans="1:17" x14ac:dyDescent="0.5">
      <c r="A466" t="s">
        <v>128</v>
      </c>
      <c r="B466">
        <v>22214171</v>
      </c>
      <c r="C466" t="s">
        <v>31</v>
      </c>
      <c r="D466" s="1">
        <v>43040</v>
      </c>
      <c r="E466" s="1">
        <v>43404</v>
      </c>
      <c r="F466" t="s">
        <v>20</v>
      </c>
      <c r="G466">
        <v>1</v>
      </c>
      <c r="H466" t="s">
        <v>21</v>
      </c>
      <c r="I466" t="s">
        <v>22</v>
      </c>
      <c r="J466" t="s">
        <v>20</v>
      </c>
      <c r="K466" t="s">
        <v>23</v>
      </c>
      <c r="L466">
        <v>55687.5</v>
      </c>
      <c r="M466" s="1">
        <v>43040</v>
      </c>
      <c r="N466" t="s">
        <v>24</v>
      </c>
      <c r="O466" t="s">
        <v>252</v>
      </c>
      <c r="P466" t="s">
        <v>253</v>
      </c>
      <c r="Q466" s="1">
        <v>43852</v>
      </c>
    </row>
    <row r="467" spans="1:17" x14ac:dyDescent="0.5">
      <c r="A467" t="s">
        <v>130</v>
      </c>
      <c r="B467">
        <v>22341873</v>
      </c>
      <c r="C467" t="s">
        <v>19</v>
      </c>
      <c r="D467" s="1">
        <v>43355</v>
      </c>
      <c r="E467" s="1">
        <v>43719</v>
      </c>
      <c r="F467" t="s">
        <v>20</v>
      </c>
      <c r="G467">
        <v>5</v>
      </c>
      <c r="H467" t="s">
        <v>134</v>
      </c>
      <c r="I467" t="s">
        <v>22</v>
      </c>
      <c r="J467" t="s">
        <v>20</v>
      </c>
      <c r="K467" t="s">
        <v>23</v>
      </c>
      <c r="L467">
        <v>8745.18</v>
      </c>
      <c r="M467" s="1">
        <v>43355</v>
      </c>
      <c r="N467" t="s">
        <v>24</v>
      </c>
      <c r="O467" t="s">
        <v>25</v>
      </c>
      <c r="Q467" s="1">
        <v>43852</v>
      </c>
    </row>
    <row r="468" spans="1:17" x14ac:dyDescent="0.5">
      <c r="A468" t="s">
        <v>132</v>
      </c>
      <c r="B468" t="s">
        <v>379</v>
      </c>
      <c r="C468" t="s">
        <v>19</v>
      </c>
      <c r="D468" s="1">
        <v>43511</v>
      </c>
      <c r="E468" s="1">
        <v>43875</v>
      </c>
      <c r="F468" t="s">
        <v>380</v>
      </c>
      <c r="G468">
        <v>9</v>
      </c>
      <c r="H468" t="s">
        <v>60</v>
      </c>
      <c r="I468" t="s">
        <v>22</v>
      </c>
      <c r="J468" t="s">
        <v>380</v>
      </c>
      <c r="K468" t="s">
        <v>66</v>
      </c>
      <c r="L468">
        <v>10578.39</v>
      </c>
      <c r="M468" s="1">
        <v>43511</v>
      </c>
      <c r="N468" t="s">
        <v>24</v>
      </c>
      <c r="O468" t="s">
        <v>25</v>
      </c>
      <c r="Q468" s="1">
        <v>43852</v>
      </c>
    </row>
    <row r="469" spans="1:17" x14ac:dyDescent="0.5">
      <c r="A469" t="s">
        <v>135</v>
      </c>
      <c r="B469" t="s">
        <v>381</v>
      </c>
      <c r="C469" t="s">
        <v>19</v>
      </c>
      <c r="D469" s="1">
        <v>43709</v>
      </c>
      <c r="E469" s="1">
        <v>44074</v>
      </c>
      <c r="F469" t="s">
        <v>32</v>
      </c>
      <c r="G469">
        <v>1</v>
      </c>
      <c r="H469" t="s">
        <v>21</v>
      </c>
      <c r="I469" t="s">
        <v>22</v>
      </c>
      <c r="J469" t="s">
        <v>54</v>
      </c>
      <c r="K469" t="s">
        <v>23</v>
      </c>
      <c r="L469">
        <v>10279.51</v>
      </c>
      <c r="M469" s="1">
        <v>43709</v>
      </c>
      <c r="N469" t="s">
        <v>24</v>
      </c>
      <c r="O469" t="s">
        <v>23</v>
      </c>
      <c r="Q469" s="1">
        <v>43852</v>
      </c>
    </row>
    <row r="470" spans="1:17" x14ac:dyDescent="0.5">
      <c r="A470" t="s">
        <v>136</v>
      </c>
      <c r="B470">
        <v>3.1030411181E+17</v>
      </c>
      <c r="C470" t="s">
        <v>31</v>
      </c>
      <c r="D470" s="1">
        <v>43344</v>
      </c>
      <c r="E470" s="1">
        <v>43708</v>
      </c>
      <c r="F470" t="s">
        <v>32</v>
      </c>
      <c r="G470">
        <v>1</v>
      </c>
      <c r="H470" t="s">
        <v>21</v>
      </c>
      <c r="I470" t="s">
        <v>22</v>
      </c>
      <c r="J470" t="s">
        <v>54</v>
      </c>
      <c r="K470" t="s">
        <v>23</v>
      </c>
      <c r="L470">
        <v>610.77</v>
      </c>
      <c r="M470" s="1">
        <v>43344</v>
      </c>
      <c r="N470" t="s">
        <v>24</v>
      </c>
      <c r="O470" t="s">
        <v>25</v>
      </c>
      <c r="Q470" s="1">
        <v>43852</v>
      </c>
    </row>
    <row r="471" spans="1:17" x14ac:dyDescent="0.5">
      <c r="A471" t="s">
        <v>139</v>
      </c>
      <c r="B471">
        <v>301004265</v>
      </c>
      <c r="C471" t="s">
        <v>31</v>
      </c>
      <c r="D471" s="1">
        <v>43168</v>
      </c>
      <c r="E471" s="1">
        <v>43532</v>
      </c>
      <c r="F471" t="s">
        <v>37</v>
      </c>
      <c r="G471">
        <v>12</v>
      </c>
      <c r="H471" t="s">
        <v>83</v>
      </c>
      <c r="I471" t="s">
        <v>22</v>
      </c>
      <c r="J471" t="s">
        <v>65</v>
      </c>
      <c r="K471" t="s">
        <v>23</v>
      </c>
      <c r="L471">
        <v>25000</v>
      </c>
      <c r="M471" s="1">
        <v>43168</v>
      </c>
      <c r="N471" t="s">
        <v>24</v>
      </c>
      <c r="O471" t="s">
        <v>25</v>
      </c>
      <c r="Q471" s="1">
        <v>43852</v>
      </c>
    </row>
    <row r="472" spans="1:17" x14ac:dyDescent="0.5">
      <c r="A472" t="s">
        <v>141</v>
      </c>
      <c r="B472" t="s">
        <v>382</v>
      </c>
      <c r="C472" t="s">
        <v>19</v>
      </c>
      <c r="D472" s="1">
        <v>43533</v>
      </c>
      <c r="E472" s="1">
        <v>43898</v>
      </c>
      <c r="F472" t="s">
        <v>37</v>
      </c>
      <c r="G472">
        <v>3</v>
      </c>
      <c r="H472" t="s">
        <v>64</v>
      </c>
      <c r="I472" t="s">
        <v>22</v>
      </c>
      <c r="J472" t="s">
        <v>65</v>
      </c>
      <c r="K472" t="s">
        <v>23</v>
      </c>
      <c r="L472">
        <v>23750</v>
      </c>
      <c r="M472" s="1">
        <v>43533</v>
      </c>
      <c r="N472" t="s">
        <v>24</v>
      </c>
      <c r="O472" t="s">
        <v>23</v>
      </c>
      <c r="Q472" s="1">
        <v>43852</v>
      </c>
    </row>
    <row r="473" spans="1:17" x14ac:dyDescent="0.5">
      <c r="A473" t="s">
        <v>143</v>
      </c>
      <c r="B473">
        <v>195269000000</v>
      </c>
      <c r="C473" t="s">
        <v>31</v>
      </c>
      <c r="D473" s="1">
        <v>43414</v>
      </c>
      <c r="E473" s="1">
        <v>43778</v>
      </c>
      <c r="F473" t="s">
        <v>40</v>
      </c>
      <c r="G473">
        <v>13</v>
      </c>
      <c r="H473" t="s">
        <v>212</v>
      </c>
      <c r="I473" t="s">
        <v>22</v>
      </c>
      <c r="J473" t="s">
        <v>42</v>
      </c>
      <c r="K473" t="s">
        <v>66</v>
      </c>
      <c r="L473">
        <v>0</v>
      </c>
      <c r="M473" s="1">
        <v>43414</v>
      </c>
      <c r="N473" t="s">
        <v>24</v>
      </c>
      <c r="O473" t="s">
        <v>25</v>
      </c>
      <c r="Q473" s="1">
        <v>43852</v>
      </c>
    </row>
    <row r="474" spans="1:17" x14ac:dyDescent="0.5">
      <c r="A474" t="s">
        <v>145</v>
      </c>
      <c r="B474">
        <v>2.4122020718290002E+18</v>
      </c>
      <c r="C474" t="s">
        <v>31</v>
      </c>
      <c r="D474" s="1">
        <v>43112</v>
      </c>
      <c r="E474" s="1">
        <v>43476</v>
      </c>
      <c r="F474" t="s">
        <v>20</v>
      </c>
      <c r="G474">
        <v>13</v>
      </c>
      <c r="H474" t="s">
        <v>212</v>
      </c>
      <c r="I474" t="s">
        <v>22</v>
      </c>
      <c r="J474" t="s">
        <v>20</v>
      </c>
      <c r="K474" t="s">
        <v>66</v>
      </c>
      <c r="L474">
        <v>10395</v>
      </c>
      <c r="M474" s="1">
        <v>43112</v>
      </c>
      <c r="N474" t="s">
        <v>24</v>
      </c>
      <c r="O474" t="s">
        <v>45</v>
      </c>
      <c r="Q474" s="1">
        <v>43852</v>
      </c>
    </row>
    <row r="475" spans="1:17" x14ac:dyDescent="0.5">
      <c r="A475" t="s">
        <v>147</v>
      </c>
      <c r="B475">
        <v>2.4122020718290002E+18</v>
      </c>
      <c r="C475" t="s">
        <v>31</v>
      </c>
      <c r="D475" s="1">
        <v>43112</v>
      </c>
      <c r="E475" s="1">
        <v>43476</v>
      </c>
      <c r="F475" t="s">
        <v>20</v>
      </c>
      <c r="G475">
        <v>13</v>
      </c>
      <c r="H475" t="s">
        <v>212</v>
      </c>
      <c r="I475" t="s">
        <v>22</v>
      </c>
      <c r="J475" t="s">
        <v>20</v>
      </c>
      <c r="K475" t="s">
        <v>66</v>
      </c>
      <c r="L475">
        <v>0</v>
      </c>
      <c r="M475" s="1"/>
      <c r="N475" t="s">
        <v>47</v>
      </c>
      <c r="O475" t="s">
        <v>45</v>
      </c>
      <c r="Q475" s="1">
        <v>43852</v>
      </c>
    </row>
    <row r="476" spans="1:17" x14ac:dyDescent="0.5">
      <c r="A476" t="s">
        <v>149</v>
      </c>
      <c r="B476" t="s">
        <v>383</v>
      </c>
      <c r="C476" t="s">
        <v>31</v>
      </c>
      <c r="D476" s="1">
        <v>43477</v>
      </c>
      <c r="E476" s="1">
        <v>43841</v>
      </c>
      <c r="F476" t="s">
        <v>20</v>
      </c>
      <c r="G476">
        <v>13</v>
      </c>
      <c r="H476" t="s">
        <v>212</v>
      </c>
      <c r="I476" t="s">
        <v>22</v>
      </c>
      <c r="J476" t="s">
        <v>20</v>
      </c>
      <c r="K476" t="s">
        <v>66</v>
      </c>
      <c r="L476">
        <v>15592.5</v>
      </c>
      <c r="M476" s="1">
        <v>43477</v>
      </c>
      <c r="N476" t="s">
        <v>24</v>
      </c>
      <c r="O476" t="s">
        <v>23</v>
      </c>
      <c r="Q476" s="1">
        <v>43852</v>
      </c>
    </row>
    <row r="477" spans="1:17" x14ac:dyDescent="0.5">
      <c r="A477" t="s">
        <v>151</v>
      </c>
      <c r="B477">
        <v>2.4122020718290002E+18</v>
      </c>
      <c r="C477" t="s">
        <v>19</v>
      </c>
      <c r="D477" s="1">
        <v>43842</v>
      </c>
      <c r="E477" s="1">
        <v>44207</v>
      </c>
      <c r="F477" t="s">
        <v>20</v>
      </c>
      <c r="G477">
        <v>13</v>
      </c>
      <c r="H477" t="s">
        <v>212</v>
      </c>
      <c r="I477" t="s">
        <v>22</v>
      </c>
      <c r="J477" t="s">
        <v>20</v>
      </c>
      <c r="K477" t="s">
        <v>66</v>
      </c>
      <c r="L477">
        <v>11310.75</v>
      </c>
      <c r="M477" s="1">
        <v>43842</v>
      </c>
      <c r="N477" t="s">
        <v>24</v>
      </c>
      <c r="O477" t="s">
        <v>23</v>
      </c>
      <c r="Q477" s="1">
        <v>43852</v>
      </c>
    </row>
    <row r="478" spans="1:17" x14ac:dyDescent="0.5">
      <c r="A478" t="s">
        <v>153</v>
      </c>
      <c r="B478" t="s">
        <v>384</v>
      </c>
      <c r="C478" t="s">
        <v>19</v>
      </c>
      <c r="D478" s="1">
        <v>43779</v>
      </c>
      <c r="E478" s="1">
        <v>44144</v>
      </c>
      <c r="F478" t="s">
        <v>40</v>
      </c>
      <c r="G478">
        <v>13</v>
      </c>
      <c r="H478" t="s">
        <v>212</v>
      </c>
      <c r="I478" t="s">
        <v>22</v>
      </c>
      <c r="J478" t="s">
        <v>42</v>
      </c>
      <c r="K478" t="s">
        <v>23</v>
      </c>
      <c r="L478">
        <v>48928.73</v>
      </c>
      <c r="M478" s="1">
        <v>43779</v>
      </c>
      <c r="N478" t="s">
        <v>24</v>
      </c>
      <c r="O478" t="s">
        <v>23</v>
      </c>
      <c r="Q478" s="1">
        <v>43852</v>
      </c>
    </row>
    <row r="479" spans="1:17" x14ac:dyDescent="0.5">
      <c r="A479" t="s">
        <v>155</v>
      </c>
      <c r="B479">
        <v>41050127</v>
      </c>
      <c r="C479" t="s">
        <v>19</v>
      </c>
      <c r="D479" s="1">
        <v>43794</v>
      </c>
      <c r="E479" s="1">
        <v>44159</v>
      </c>
      <c r="F479" t="s">
        <v>37</v>
      </c>
      <c r="G479">
        <v>13</v>
      </c>
      <c r="H479" t="s">
        <v>212</v>
      </c>
      <c r="I479" t="s">
        <v>22</v>
      </c>
      <c r="J479" t="s">
        <v>37</v>
      </c>
      <c r="K479" t="s">
        <v>23</v>
      </c>
      <c r="L479">
        <v>18975</v>
      </c>
      <c r="M479" s="1">
        <v>43794</v>
      </c>
      <c r="N479" t="s">
        <v>24</v>
      </c>
      <c r="O479" t="s">
        <v>25</v>
      </c>
      <c r="Q479" s="1">
        <v>43852</v>
      </c>
    </row>
    <row r="480" spans="1:17" x14ac:dyDescent="0.5">
      <c r="A480" t="s">
        <v>157</v>
      </c>
      <c r="B480">
        <v>43169018</v>
      </c>
      <c r="C480" t="s">
        <v>31</v>
      </c>
      <c r="D480" s="1">
        <v>43292</v>
      </c>
      <c r="E480" s="1">
        <v>43656</v>
      </c>
      <c r="F480" t="s">
        <v>36</v>
      </c>
      <c r="G480">
        <v>13</v>
      </c>
      <c r="H480" t="s">
        <v>212</v>
      </c>
      <c r="I480" t="s">
        <v>22</v>
      </c>
      <c r="J480" t="s">
        <v>37</v>
      </c>
      <c r="K480" t="s">
        <v>66</v>
      </c>
      <c r="L480">
        <v>16170</v>
      </c>
      <c r="M480" s="1">
        <v>43292</v>
      </c>
      <c r="N480" t="s">
        <v>24</v>
      </c>
      <c r="O480" t="s">
        <v>252</v>
      </c>
      <c r="P480" t="s">
        <v>355</v>
      </c>
      <c r="Q480" s="1">
        <v>43852</v>
      </c>
    </row>
    <row r="481" spans="1:17" x14ac:dyDescent="0.5">
      <c r="A481" t="s">
        <v>159</v>
      </c>
      <c r="B481">
        <v>54522170</v>
      </c>
      <c r="C481" t="s">
        <v>19</v>
      </c>
      <c r="D481" s="1">
        <v>43655</v>
      </c>
      <c r="E481" s="1">
        <v>44020</v>
      </c>
      <c r="F481" t="s">
        <v>40</v>
      </c>
      <c r="G481">
        <v>13</v>
      </c>
      <c r="H481" t="s">
        <v>212</v>
      </c>
      <c r="I481" t="s">
        <v>22</v>
      </c>
      <c r="J481" t="s">
        <v>42</v>
      </c>
      <c r="K481" t="s">
        <v>66</v>
      </c>
      <c r="L481">
        <v>9056.48</v>
      </c>
      <c r="M481" s="1">
        <v>43655</v>
      </c>
      <c r="N481" t="s">
        <v>24</v>
      </c>
      <c r="O481" t="s">
        <v>25</v>
      </c>
      <c r="Q481" s="1">
        <v>43852</v>
      </c>
    </row>
    <row r="482" spans="1:17" x14ac:dyDescent="0.5">
      <c r="A482" t="s">
        <v>161</v>
      </c>
      <c r="B482" t="s">
        <v>385</v>
      </c>
      <c r="C482" t="s">
        <v>31</v>
      </c>
      <c r="D482" s="1">
        <v>43291</v>
      </c>
      <c r="E482" s="1">
        <v>43655</v>
      </c>
      <c r="F482" t="s">
        <v>32</v>
      </c>
      <c r="G482">
        <v>13</v>
      </c>
      <c r="H482" t="s">
        <v>212</v>
      </c>
      <c r="I482" t="s">
        <v>22</v>
      </c>
      <c r="J482" t="s">
        <v>54</v>
      </c>
      <c r="K482" t="s">
        <v>66</v>
      </c>
      <c r="L482">
        <v>18357</v>
      </c>
      <c r="M482" s="1">
        <v>43291</v>
      </c>
      <c r="N482" t="s">
        <v>24</v>
      </c>
      <c r="O482" t="s">
        <v>252</v>
      </c>
      <c r="P482" t="s">
        <v>253</v>
      </c>
      <c r="Q482" s="1">
        <v>43852</v>
      </c>
    </row>
    <row r="483" spans="1:17" x14ac:dyDescent="0.5">
      <c r="A483" t="s">
        <v>163</v>
      </c>
      <c r="B483" t="s">
        <v>386</v>
      </c>
      <c r="C483" t="s">
        <v>31</v>
      </c>
      <c r="D483" s="1">
        <v>43291</v>
      </c>
      <c r="E483" s="1">
        <v>43655</v>
      </c>
      <c r="F483" t="s">
        <v>32</v>
      </c>
      <c r="G483">
        <v>13</v>
      </c>
      <c r="H483" t="s">
        <v>212</v>
      </c>
      <c r="I483" t="s">
        <v>22</v>
      </c>
      <c r="J483" t="s">
        <v>54</v>
      </c>
      <c r="K483" t="s">
        <v>66</v>
      </c>
      <c r="L483">
        <v>10416.75</v>
      </c>
      <c r="M483" s="1">
        <v>43291</v>
      </c>
      <c r="N483" t="s">
        <v>24</v>
      </c>
      <c r="O483" t="s">
        <v>25</v>
      </c>
      <c r="Q483" s="1">
        <v>43852</v>
      </c>
    </row>
    <row r="484" spans="1:17" x14ac:dyDescent="0.5">
      <c r="A484" t="s">
        <v>165</v>
      </c>
      <c r="B484" t="s">
        <v>387</v>
      </c>
      <c r="C484" t="s">
        <v>31</v>
      </c>
      <c r="D484" s="1">
        <v>43291</v>
      </c>
      <c r="E484" s="1">
        <v>43655</v>
      </c>
      <c r="F484" t="s">
        <v>36</v>
      </c>
      <c r="G484">
        <v>13</v>
      </c>
      <c r="H484" t="s">
        <v>212</v>
      </c>
      <c r="I484" t="s">
        <v>22</v>
      </c>
      <c r="J484" t="s">
        <v>54</v>
      </c>
      <c r="K484" t="s">
        <v>66</v>
      </c>
      <c r="L484">
        <v>1232</v>
      </c>
      <c r="M484" s="1">
        <v>43291</v>
      </c>
      <c r="N484" t="s">
        <v>24</v>
      </c>
      <c r="O484" t="s">
        <v>25</v>
      </c>
      <c r="Q484" s="1">
        <v>43852</v>
      </c>
    </row>
    <row r="485" spans="1:17" x14ac:dyDescent="0.5">
      <c r="A485" t="s">
        <v>167</v>
      </c>
      <c r="B485" t="s">
        <v>388</v>
      </c>
      <c r="C485" t="s">
        <v>31</v>
      </c>
      <c r="D485" s="1">
        <v>43291</v>
      </c>
      <c r="E485" s="1">
        <v>43655</v>
      </c>
      <c r="F485" t="s">
        <v>36</v>
      </c>
      <c r="G485">
        <v>13</v>
      </c>
      <c r="H485" t="s">
        <v>212</v>
      </c>
      <c r="I485" t="s">
        <v>22</v>
      </c>
      <c r="J485" t="s">
        <v>54</v>
      </c>
      <c r="K485" t="s">
        <v>66</v>
      </c>
      <c r="L485">
        <v>242.5</v>
      </c>
      <c r="M485" s="1">
        <v>43291</v>
      </c>
      <c r="N485" t="s">
        <v>24</v>
      </c>
      <c r="O485" t="s">
        <v>252</v>
      </c>
      <c r="P485" t="s">
        <v>355</v>
      </c>
      <c r="Q485" s="1">
        <v>43852</v>
      </c>
    </row>
    <row r="486" spans="1:17" x14ac:dyDescent="0.5">
      <c r="A486" t="s">
        <v>169</v>
      </c>
      <c r="B486" t="s">
        <v>389</v>
      </c>
      <c r="C486" t="s">
        <v>19</v>
      </c>
      <c r="D486" s="1">
        <v>43474</v>
      </c>
      <c r="E486" s="1">
        <v>43838</v>
      </c>
      <c r="F486" t="s">
        <v>36</v>
      </c>
      <c r="G486">
        <v>13</v>
      </c>
      <c r="H486" t="s">
        <v>212</v>
      </c>
      <c r="I486" t="s">
        <v>22</v>
      </c>
      <c r="J486" t="s">
        <v>54</v>
      </c>
      <c r="K486" t="s">
        <v>66</v>
      </c>
      <c r="L486">
        <v>643.75</v>
      </c>
      <c r="M486" s="1">
        <v>43474</v>
      </c>
      <c r="N486" t="s">
        <v>24</v>
      </c>
      <c r="O486" t="s">
        <v>25</v>
      </c>
      <c r="Q486" s="1">
        <v>43852</v>
      </c>
    </row>
    <row r="487" spans="1:17" x14ac:dyDescent="0.5">
      <c r="A487" t="s">
        <v>171</v>
      </c>
      <c r="B487" t="s">
        <v>390</v>
      </c>
      <c r="C487" t="s">
        <v>19</v>
      </c>
      <c r="D487" s="1">
        <v>43601</v>
      </c>
      <c r="E487" s="1">
        <v>43966</v>
      </c>
      <c r="F487" t="s">
        <v>32</v>
      </c>
      <c r="G487">
        <v>13</v>
      </c>
      <c r="H487" t="s">
        <v>212</v>
      </c>
      <c r="I487" t="s">
        <v>22</v>
      </c>
      <c r="J487" t="s">
        <v>54</v>
      </c>
      <c r="K487" t="s">
        <v>66</v>
      </c>
      <c r="L487">
        <v>4595.75</v>
      </c>
      <c r="M487" s="1">
        <v>43601</v>
      </c>
      <c r="N487" t="s">
        <v>24</v>
      </c>
      <c r="O487" t="s">
        <v>25</v>
      </c>
      <c r="Q487" s="1">
        <v>43852</v>
      </c>
    </row>
    <row r="488" spans="1:17" x14ac:dyDescent="0.5">
      <c r="A488" t="s">
        <v>173</v>
      </c>
      <c r="B488" t="s">
        <v>391</v>
      </c>
      <c r="C488" t="s">
        <v>19</v>
      </c>
      <c r="D488" s="1">
        <v>43657</v>
      </c>
      <c r="E488" s="1">
        <v>44022</v>
      </c>
      <c r="F488" t="s">
        <v>32</v>
      </c>
      <c r="G488">
        <v>13</v>
      </c>
      <c r="H488" t="s">
        <v>212</v>
      </c>
      <c r="I488" t="s">
        <v>22</v>
      </c>
      <c r="J488" t="s">
        <v>54</v>
      </c>
      <c r="K488" t="s">
        <v>66</v>
      </c>
      <c r="L488">
        <v>21905.200000000001</v>
      </c>
      <c r="M488" s="1">
        <v>43657</v>
      </c>
      <c r="N488" t="s">
        <v>24</v>
      </c>
      <c r="O488" t="s">
        <v>23</v>
      </c>
      <c r="Q488" s="1">
        <v>43852</v>
      </c>
    </row>
    <row r="489" spans="1:17" x14ac:dyDescent="0.5">
      <c r="A489" t="s">
        <v>175</v>
      </c>
      <c r="B489" t="s">
        <v>392</v>
      </c>
      <c r="C489" t="s">
        <v>19</v>
      </c>
      <c r="D489" s="1">
        <v>43656</v>
      </c>
      <c r="E489" s="1">
        <v>44021</v>
      </c>
      <c r="F489" t="s">
        <v>36</v>
      </c>
      <c r="G489">
        <v>13</v>
      </c>
      <c r="H489" t="s">
        <v>212</v>
      </c>
      <c r="I489" t="s">
        <v>22</v>
      </c>
      <c r="J489" t="s">
        <v>54</v>
      </c>
      <c r="K489" t="s">
        <v>66</v>
      </c>
      <c r="L489">
        <v>337.5</v>
      </c>
      <c r="M489" s="1">
        <v>43656</v>
      </c>
      <c r="N489" t="s">
        <v>24</v>
      </c>
      <c r="O489" t="s">
        <v>23</v>
      </c>
      <c r="Q489" s="1">
        <v>43852</v>
      </c>
    </row>
    <row r="490" spans="1:17" x14ac:dyDescent="0.5">
      <c r="A490" t="s">
        <v>177</v>
      </c>
      <c r="B490" t="s">
        <v>393</v>
      </c>
      <c r="C490" t="s">
        <v>19</v>
      </c>
      <c r="D490" s="1">
        <v>43462</v>
      </c>
      <c r="E490" s="1">
        <v>43826</v>
      </c>
      <c r="F490" t="s">
        <v>20</v>
      </c>
      <c r="G490">
        <v>1</v>
      </c>
      <c r="H490" t="s">
        <v>21</v>
      </c>
      <c r="I490" t="s">
        <v>22</v>
      </c>
      <c r="J490" t="s">
        <v>20</v>
      </c>
      <c r="K490" t="s">
        <v>66</v>
      </c>
      <c r="L490">
        <v>6112.76</v>
      </c>
      <c r="M490" s="1">
        <v>43462</v>
      </c>
      <c r="N490" t="s">
        <v>24</v>
      </c>
      <c r="O490" t="s">
        <v>45</v>
      </c>
      <c r="Q490" s="1">
        <v>43852</v>
      </c>
    </row>
    <row r="491" spans="1:17" x14ac:dyDescent="0.5">
      <c r="A491" t="s">
        <v>178</v>
      </c>
      <c r="B491" t="s">
        <v>393</v>
      </c>
      <c r="C491" t="s">
        <v>19</v>
      </c>
      <c r="D491" s="1">
        <v>43462</v>
      </c>
      <c r="E491" s="1">
        <v>43826</v>
      </c>
      <c r="F491" t="s">
        <v>20</v>
      </c>
      <c r="G491">
        <v>1</v>
      </c>
      <c r="H491" t="s">
        <v>21</v>
      </c>
      <c r="I491" t="s">
        <v>22</v>
      </c>
      <c r="J491" t="s">
        <v>20</v>
      </c>
      <c r="K491" t="s">
        <v>66</v>
      </c>
      <c r="L491">
        <v>0</v>
      </c>
      <c r="M491" s="1"/>
      <c r="N491" t="s">
        <v>47</v>
      </c>
      <c r="O491" t="s">
        <v>45</v>
      </c>
      <c r="Q491" s="1">
        <v>43852</v>
      </c>
    </row>
    <row r="492" spans="1:17" x14ac:dyDescent="0.5">
      <c r="A492" t="s">
        <v>179</v>
      </c>
      <c r="B492" t="s">
        <v>394</v>
      </c>
      <c r="C492" t="s">
        <v>19</v>
      </c>
      <c r="D492" s="1">
        <v>43440</v>
      </c>
      <c r="E492" s="1">
        <v>43804</v>
      </c>
      <c r="F492" t="s">
        <v>20</v>
      </c>
      <c r="G492">
        <v>1</v>
      </c>
      <c r="H492" t="s">
        <v>21</v>
      </c>
      <c r="I492" t="s">
        <v>22</v>
      </c>
      <c r="J492" t="s">
        <v>20</v>
      </c>
      <c r="K492" t="s">
        <v>66</v>
      </c>
      <c r="L492">
        <v>10725</v>
      </c>
      <c r="M492" s="1">
        <v>43440</v>
      </c>
      <c r="N492" t="s">
        <v>24</v>
      </c>
      <c r="O492" t="s">
        <v>25</v>
      </c>
      <c r="Q492" s="1">
        <v>43852</v>
      </c>
    </row>
    <row r="493" spans="1:17" x14ac:dyDescent="0.5">
      <c r="A493" t="s">
        <v>180</v>
      </c>
      <c r="B493">
        <v>2280014070</v>
      </c>
      <c r="C493" t="s">
        <v>19</v>
      </c>
      <c r="D493" s="1">
        <v>43533</v>
      </c>
      <c r="E493" s="1">
        <v>43898</v>
      </c>
      <c r="F493" t="s">
        <v>37</v>
      </c>
      <c r="G493">
        <v>2</v>
      </c>
      <c r="H493" t="s">
        <v>27</v>
      </c>
      <c r="I493" t="s">
        <v>22</v>
      </c>
      <c r="J493" t="s">
        <v>37</v>
      </c>
      <c r="K493" t="s">
        <v>66</v>
      </c>
      <c r="L493">
        <v>27530.38</v>
      </c>
      <c r="M493" s="1">
        <v>43533</v>
      </c>
      <c r="N493" t="s">
        <v>24</v>
      </c>
      <c r="O493" t="s">
        <v>25</v>
      </c>
      <c r="Q493" s="1">
        <v>43852</v>
      </c>
    </row>
    <row r="494" spans="1:17" x14ac:dyDescent="0.5">
      <c r="A494" t="s">
        <v>181</v>
      </c>
      <c r="B494">
        <v>3.1030411181E+17</v>
      </c>
      <c r="C494" t="s">
        <v>31</v>
      </c>
      <c r="D494" s="1">
        <v>43191</v>
      </c>
      <c r="E494" s="1">
        <v>43555</v>
      </c>
      <c r="F494" t="s">
        <v>36</v>
      </c>
      <c r="G494">
        <v>1</v>
      </c>
      <c r="H494" t="s">
        <v>21</v>
      </c>
      <c r="I494" t="s">
        <v>22</v>
      </c>
      <c r="J494" t="s">
        <v>54</v>
      </c>
      <c r="K494" t="s">
        <v>66</v>
      </c>
      <c r="L494">
        <v>106033.91</v>
      </c>
      <c r="M494" s="1">
        <v>43191</v>
      </c>
      <c r="N494" t="s">
        <v>24</v>
      </c>
      <c r="O494" t="s">
        <v>252</v>
      </c>
      <c r="P494" t="s">
        <v>395</v>
      </c>
      <c r="Q494" s="1">
        <v>43852</v>
      </c>
    </row>
    <row r="495" spans="1:17" x14ac:dyDescent="0.5">
      <c r="A495" t="s">
        <v>183</v>
      </c>
      <c r="B495">
        <v>3.1030411181E+17</v>
      </c>
      <c r="C495" t="s">
        <v>19</v>
      </c>
      <c r="D495" s="1">
        <v>43473</v>
      </c>
      <c r="E495" s="1">
        <v>43562</v>
      </c>
      <c r="F495" t="s">
        <v>32</v>
      </c>
      <c r="G495">
        <v>2</v>
      </c>
      <c r="H495" t="s">
        <v>27</v>
      </c>
      <c r="I495" t="s">
        <v>22</v>
      </c>
      <c r="J495" t="s">
        <v>61</v>
      </c>
      <c r="K495" t="s">
        <v>66</v>
      </c>
      <c r="L495">
        <v>3978.77</v>
      </c>
      <c r="M495" s="1">
        <v>43473</v>
      </c>
      <c r="N495" t="s">
        <v>24</v>
      </c>
      <c r="O495" t="s">
        <v>25</v>
      </c>
      <c r="Q495" s="1">
        <v>43852</v>
      </c>
    </row>
    <row r="496" spans="1:17" x14ac:dyDescent="0.5">
      <c r="A496" t="s">
        <v>184</v>
      </c>
      <c r="B496">
        <v>3.1030411181E+17</v>
      </c>
      <c r="C496" t="s">
        <v>19</v>
      </c>
      <c r="D496" s="1">
        <v>43484</v>
      </c>
      <c r="E496" s="1">
        <v>43573</v>
      </c>
      <c r="F496" t="s">
        <v>32</v>
      </c>
      <c r="G496">
        <v>2</v>
      </c>
      <c r="H496" t="s">
        <v>27</v>
      </c>
      <c r="I496" t="s">
        <v>22</v>
      </c>
      <c r="J496" t="s">
        <v>61</v>
      </c>
      <c r="K496" t="s">
        <v>66</v>
      </c>
      <c r="L496">
        <v>9453.35</v>
      </c>
      <c r="M496" s="1">
        <v>43484</v>
      </c>
      <c r="N496" t="s">
        <v>24</v>
      </c>
      <c r="O496" t="s">
        <v>25</v>
      </c>
      <c r="Q496" s="1">
        <v>43852</v>
      </c>
    </row>
    <row r="497" spans="1:17" x14ac:dyDescent="0.5">
      <c r="A497" t="s">
        <v>185</v>
      </c>
      <c r="B497">
        <v>3.1030411181E+17</v>
      </c>
      <c r="C497" t="s">
        <v>19</v>
      </c>
      <c r="D497" s="1">
        <v>43522</v>
      </c>
      <c r="E497" s="1">
        <v>43580</v>
      </c>
      <c r="F497" t="s">
        <v>32</v>
      </c>
      <c r="G497">
        <v>2</v>
      </c>
      <c r="H497" t="s">
        <v>27</v>
      </c>
      <c r="I497" t="s">
        <v>22</v>
      </c>
      <c r="J497" t="s">
        <v>61</v>
      </c>
      <c r="K497" t="s">
        <v>66</v>
      </c>
      <c r="L497">
        <v>4156.79</v>
      </c>
      <c r="M497" s="1">
        <v>43522</v>
      </c>
      <c r="N497" t="s">
        <v>24</v>
      </c>
      <c r="O497" t="s">
        <v>25</v>
      </c>
      <c r="Q497" s="1">
        <v>43852</v>
      </c>
    </row>
    <row r="498" spans="1:17" x14ac:dyDescent="0.5">
      <c r="A498" t="s">
        <v>186</v>
      </c>
      <c r="B498">
        <v>43187020</v>
      </c>
      <c r="C498" t="s">
        <v>19</v>
      </c>
      <c r="D498" s="1">
        <v>43577</v>
      </c>
      <c r="E498" s="1">
        <v>43942</v>
      </c>
      <c r="F498" t="s">
        <v>36</v>
      </c>
      <c r="G498">
        <v>13</v>
      </c>
      <c r="H498" t="s">
        <v>212</v>
      </c>
      <c r="I498" t="s">
        <v>22</v>
      </c>
      <c r="J498" t="s">
        <v>37</v>
      </c>
      <c r="K498" t="s">
        <v>28</v>
      </c>
      <c r="L498">
        <v>7451.24</v>
      </c>
      <c r="M498" s="1">
        <v>43577</v>
      </c>
      <c r="N498" t="s">
        <v>24</v>
      </c>
      <c r="O498" t="s">
        <v>25</v>
      </c>
      <c r="Q498" s="1">
        <v>43852</v>
      </c>
    </row>
    <row r="499" spans="1:17" x14ac:dyDescent="0.5">
      <c r="A499" t="s">
        <v>188</v>
      </c>
      <c r="B499" t="s">
        <v>396</v>
      </c>
      <c r="C499" t="s">
        <v>19</v>
      </c>
      <c r="D499" s="1">
        <v>43441</v>
      </c>
      <c r="E499" s="1">
        <v>43805</v>
      </c>
      <c r="F499" t="s">
        <v>20</v>
      </c>
      <c r="G499">
        <v>1</v>
      </c>
      <c r="H499" t="s">
        <v>21</v>
      </c>
      <c r="I499" t="s">
        <v>22</v>
      </c>
      <c r="J499" t="s">
        <v>20</v>
      </c>
      <c r="K499" t="s">
        <v>66</v>
      </c>
      <c r="L499">
        <v>3630</v>
      </c>
      <c r="M499" s="1">
        <v>43816</v>
      </c>
      <c r="N499" t="s">
        <v>24</v>
      </c>
      <c r="O499" t="s">
        <v>25</v>
      </c>
      <c r="Q499" s="1">
        <v>43852</v>
      </c>
    </row>
    <row r="500" spans="1:17" x14ac:dyDescent="0.5">
      <c r="A500" t="s">
        <v>190</v>
      </c>
      <c r="B500" t="s">
        <v>93</v>
      </c>
      <c r="C500" t="s">
        <v>19</v>
      </c>
      <c r="D500" s="1">
        <v>43354</v>
      </c>
      <c r="E500" s="1">
        <v>43718</v>
      </c>
      <c r="F500" t="s">
        <v>20</v>
      </c>
      <c r="G500">
        <v>1</v>
      </c>
      <c r="H500" t="s">
        <v>21</v>
      </c>
      <c r="I500" t="s">
        <v>22</v>
      </c>
      <c r="J500" t="s">
        <v>20</v>
      </c>
      <c r="K500" t="s">
        <v>23</v>
      </c>
      <c r="L500">
        <v>1072.5</v>
      </c>
      <c r="M500" s="1">
        <v>43719</v>
      </c>
      <c r="N500" t="s">
        <v>24</v>
      </c>
      <c r="O500" t="s">
        <v>25</v>
      </c>
      <c r="Q500" s="1">
        <v>43852</v>
      </c>
    </row>
    <row r="501" spans="1:17" x14ac:dyDescent="0.5">
      <c r="A501" t="s">
        <v>192</v>
      </c>
      <c r="B501">
        <v>1.11200441808E+19</v>
      </c>
      <c r="C501" t="s">
        <v>19</v>
      </c>
      <c r="D501" s="1">
        <v>43468</v>
      </c>
      <c r="E501" s="1">
        <v>43740</v>
      </c>
      <c r="F501" t="s">
        <v>202</v>
      </c>
      <c r="G501">
        <v>3</v>
      </c>
      <c r="H501" t="s">
        <v>64</v>
      </c>
      <c r="I501" t="s">
        <v>22</v>
      </c>
      <c r="J501" t="s">
        <v>65</v>
      </c>
      <c r="K501" t="s">
        <v>66</v>
      </c>
      <c r="L501">
        <v>49401.25</v>
      </c>
      <c r="M501" s="1">
        <v>43468</v>
      </c>
      <c r="N501" t="s">
        <v>24</v>
      </c>
      <c r="O501" t="s">
        <v>25</v>
      </c>
      <c r="Q501" s="1">
        <v>43852</v>
      </c>
    </row>
    <row r="502" spans="1:17" x14ac:dyDescent="0.5">
      <c r="A502" t="s">
        <v>193</v>
      </c>
      <c r="B502">
        <v>1.11200441808E+19</v>
      </c>
      <c r="C502" t="s">
        <v>19</v>
      </c>
      <c r="D502" s="1">
        <v>43468</v>
      </c>
      <c r="E502" s="1">
        <v>43740</v>
      </c>
      <c r="F502" t="s">
        <v>202</v>
      </c>
      <c r="G502">
        <v>3</v>
      </c>
      <c r="H502" t="s">
        <v>64</v>
      </c>
      <c r="I502" t="s">
        <v>22</v>
      </c>
      <c r="J502" t="s">
        <v>65</v>
      </c>
      <c r="K502" t="s">
        <v>66</v>
      </c>
      <c r="L502">
        <v>49401.25</v>
      </c>
      <c r="M502" s="1">
        <v>43468</v>
      </c>
      <c r="N502" t="s">
        <v>24</v>
      </c>
      <c r="O502" t="s">
        <v>25</v>
      </c>
      <c r="Q502" s="1">
        <v>43852</v>
      </c>
    </row>
    <row r="503" spans="1:17" x14ac:dyDescent="0.5">
      <c r="A503" t="s">
        <v>194</v>
      </c>
      <c r="B503">
        <v>1.1120044185899999E+19</v>
      </c>
      <c r="C503" t="s">
        <v>19</v>
      </c>
      <c r="D503" s="1">
        <v>43468</v>
      </c>
      <c r="E503" s="1">
        <v>43740</v>
      </c>
      <c r="F503" t="s">
        <v>202</v>
      </c>
      <c r="G503">
        <v>3</v>
      </c>
      <c r="H503" t="s">
        <v>64</v>
      </c>
      <c r="I503" t="s">
        <v>22</v>
      </c>
      <c r="J503" t="s">
        <v>65</v>
      </c>
      <c r="K503" t="s">
        <v>66</v>
      </c>
      <c r="L503">
        <v>45000</v>
      </c>
      <c r="M503" s="1">
        <v>43468</v>
      </c>
      <c r="N503" t="s">
        <v>24</v>
      </c>
      <c r="O503" t="s">
        <v>25</v>
      </c>
      <c r="Q503" s="1">
        <v>43852</v>
      </c>
    </row>
    <row r="504" spans="1:17" x14ac:dyDescent="0.5">
      <c r="A504" t="s">
        <v>195</v>
      </c>
      <c r="B504" t="s">
        <v>397</v>
      </c>
      <c r="C504" t="s">
        <v>31</v>
      </c>
      <c r="D504" s="1">
        <v>43373</v>
      </c>
      <c r="E504" s="1">
        <v>43737</v>
      </c>
      <c r="F504" t="s">
        <v>40</v>
      </c>
      <c r="G504">
        <v>10</v>
      </c>
      <c r="H504" t="s">
        <v>41</v>
      </c>
      <c r="I504" t="s">
        <v>22</v>
      </c>
      <c r="J504" t="s">
        <v>42</v>
      </c>
      <c r="K504" t="s">
        <v>23</v>
      </c>
      <c r="L504">
        <v>54000</v>
      </c>
      <c r="M504" s="1">
        <v>43373</v>
      </c>
      <c r="N504" t="s">
        <v>24</v>
      </c>
      <c r="O504" t="s">
        <v>25</v>
      </c>
      <c r="Q504" s="1">
        <v>43852</v>
      </c>
    </row>
    <row r="505" spans="1:17" x14ac:dyDescent="0.5">
      <c r="A505" t="s">
        <v>196</v>
      </c>
      <c r="B505" t="s">
        <v>398</v>
      </c>
      <c r="C505" t="s">
        <v>19</v>
      </c>
      <c r="D505" s="1">
        <v>43448</v>
      </c>
      <c r="E505" s="1">
        <v>43812</v>
      </c>
      <c r="F505" t="s">
        <v>20</v>
      </c>
      <c r="G505">
        <v>12</v>
      </c>
      <c r="H505" t="s">
        <v>83</v>
      </c>
      <c r="I505" t="s">
        <v>22</v>
      </c>
      <c r="J505" t="s">
        <v>65</v>
      </c>
      <c r="K505" t="s">
        <v>66</v>
      </c>
      <c r="L505">
        <v>5659.5</v>
      </c>
      <c r="M505" s="1">
        <v>43448</v>
      </c>
      <c r="N505" t="s">
        <v>24</v>
      </c>
      <c r="O505" t="s">
        <v>25</v>
      </c>
      <c r="Q505" s="1">
        <v>43852</v>
      </c>
    </row>
    <row r="506" spans="1:17" x14ac:dyDescent="0.5">
      <c r="A506" t="s">
        <v>198</v>
      </c>
      <c r="B506">
        <v>3.1142027482102001E+18</v>
      </c>
      <c r="C506" t="s">
        <v>19</v>
      </c>
      <c r="D506" s="1">
        <v>43566</v>
      </c>
      <c r="E506" s="1">
        <v>43930</v>
      </c>
      <c r="F506" t="s">
        <v>36</v>
      </c>
      <c r="G506">
        <v>3</v>
      </c>
      <c r="H506" t="s">
        <v>64</v>
      </c>
      <c r="I506" t="s">
        <v>22</v>
      </c>
      <c r="J506" t="s">
        <v>65</v>
      </c>
      <c r="K506" t="s">
        <v>66</v>
      </c>
      <c r="L506">
        <v>2942.25</v>
      </c>
      <c r="M506" s="1">
        <v>43566</v>
      </c>
      <c r="N506" t="s">
        <v>24</v>
      </c>
      <c r="O506" t="s">
        <v>25</v>
      </c>
      <c r="Q506" s="1">
        <v>43852</v>
      </c>
    </row>
    <row r="507" spans="1:17" x14ac:dyDescent="0.5">
      <c r="A507" t="s">
        <v>200</v>
      </c>
      <c r="B507" t="s">
        <v>399</v>
      </c>
      <c r="C507" t="s">
        <v>31</v>
      </c>
      <c r="D507" s="1">
        <v>43397</v>
      </c>
      <c r="E507" s="1">
        <v>43761</v>
      </c>
      <c r="F507" t="s">
        <v>36</v>
      </c>
      <c r="G507">
        <v>3</v>
      </c>
      <c r="H507" t="s">
        <v>64</v>
      </c>
      <c r="I507" t="s">
        <v>22</v>
      </c>
      <c r="J507" t="s">
        <v>65</v>
      </c>
      <c r="K507" t="s">
        <v>23</v>
      </c>
      <c r="L507">
        <v>6335.5</v>
      </c>
      <c r="M507" s="1">
        <v>43761</v>
      </c>
      <c r="N507" t="s">
        <v>24</v>
      </c>
      <c r="O507" t="s">
        <v>25</v>
      </c>
      <c r="Q507" s="1">
        <v>43852</v>
      </c>
    </row>
    <row r="508" spans="1:17" x14ac:dyDescent="0.5">
      <c r="A508" t="s">
        <v>203</v>
      </c>
      <c r="B508" t="s">
        <v>400</v>
      </c>
      <c r="C508" t="s">
        <v>19</v>
      </c>
      <c r="D508" s="1">
        <v>43764</v>
      </c>
      <c r="E508" s="1">
        <v>44129</v>
      </c>
      <c r="F508" t="s">
        <v>36</v>
      </c>
      <c r="G508">
        <v>3</v>
      </c>
      <c r="H508" t="s">
        <v>64</v>
      </c>
      <c r="I508" t="s">
        <v>22</v>
      </c>
      <c r="J508" t="s">
        <v>65</v>
      </c>
      <c r="K508" t="s">
        <v>23</v>
      </c>
      <c r="L508">
        <v>2436.75</v>
      </c>
      <c r="M508" s="1">
        <v>43764</v>
      </c>
      <c r="N508" t="s">
        <v>24</v>
      </c>
      <c r="O508" t="s">
        <v>23</v>
      </c>
      <c r="Q508" s="1">
        <v>43852</v>
      </c>
    </row>
    <row r="509" spans="1:17" x14ac:dyDescent="0.5">
      <c r="A509" t="s">
        <v>204</v>
      </c>
      <c r="B509">
        <v>10619837</v>
      </c>
      <c r="C509" t="s">
        <v>31</v>
      </c>
      <c r="D509" s="1">
        <v>43397</v>
      </c>
      <c r="E509" s="1">
        <v>43761</v>
      </c>
      <c r="F509" t="s">
        <v>32</v>
      </c>
      <c r="G509">
        <v>3</v>
      </c>
      <c r="H509" t="s">
        <v>64</v>
      </c>
      <c r="I509" t="s">
        <v>22</v>
      </c>
      <c r="J509" t="s">
        <v>65</v>
      </c>
      <c r="K509" t="s">
        <v>23</v>
      </c>
      <c r="L509">
        <v>18321.23</v>
      </c>
      <c r="M509" s="1">
        <v>43397</v>
      </c>
      <c r="N509" t="s">
        <v>24</v>
      </c>
      <c r="O509" t="s">
        <v>25</v>
      </c>
      <c r="Q509" s="1">
        <v>43852</v>
      </c>
    </row>
    <row r="510" spans="1:17" x14ac:dyDescent="0.5">
      <c r="A510" t="s">
        <v>205</v>
      </c>
      <c r="B510" t="s">
        <v>401</v>
      </c>
      <c r="C510" t="s">
        <v>19</v>
      </c>
      <c r="D510" s="1">
        <v>43763</v>
      </c>
      <c r="E510" s="1">
        <v>44128</v>
      </c>
      <c r="F510" t="s">
        <v>32</v>
      </c>
      <c r="G510">
        <v>3</v>
      </c>
      <c r="H510" t="s">
        <v>64</v>
      </c>
      <c r="I510" t="s">
        <v>22</v>
      </c>
      <c r="J510" t="s">
        <v>65</v>
      </c>
      <c r="K510" t="s">
        <v>23</v>
      </c>
      <c r="L510">
        <v>26967.39</v>
      </c>
      <c r="M510" s="1">
        <v>43763</v>
      </c>
      <c r="N510" t="s">
        <v>24</v>
      </c>
      <c r="O510" t="s">
        <v>23</v>
      </c>
      <c r="Q510" s="1">
        <v>43852</v>
      </c>
    </row>
    <row r="511" spans="1:17" x14ac:dyDescent="0.5">
      <c r="A511" t="s">
        <v>206</v>
      </c>
      <c r="B511" t="s">
        <v>402</v>
      </c>
      <c r="C511" t="s">
        <v>19</v>
      </c>
      <c r="D511" s="1">
        <v>43101</v>
      </c>
      <c r="E511" s="1">
        <v>43465</v>
      </c>
      <c r="F511" t="s">
        <v>36</v>
      </c>
      <c r="G511">
        <v>3</v>
      </c>
      <c r="H511" t="s">
        <v>64</v>
      </c>
      <c r="I511" t="s">
        <v>22</v>
      </c>
      <c r="J511" t="s">
        <v>65</v>
      </c>
      <c r="K511" t="s">
        <v>23</v>
      </c>
      <c r="L511">
        <v>159956.76</v>
      </c>
      <c r="M511" s="1">
        <v>43101</v>
      </c>
      <c r="N511" t="s">
        <v>24</v>
      </c>
      <c r="O511" t="s">
        <v>25</v>
      </c>
      <c r="Q511" s="1">
        <v>43852</v>
      </c>
    </row>
    <row r="512" spans="1:17" x14ac:dyDescent="0.5">
      <c r="A512" t="s">
        <v>207</v>
      </c>
      <c r="B512" t="s">
        <v>403</v>
      </c>
      <c r="C512" t="s">
        <v>19</v>
      </c>
      <c r="D512" s="1">
        <v>43466</v>
      </c>
      <c r="E512" s="1">
        <v>43830</v>
      </c>
      <c r="F512" t="s">
        <v>32</v>
      </c>
      <c r="G512">
        <v>3</v>
      </c>
      <c r="H512" t="s">
        <v>64</v>
      </c>
      <c r="I512" t="s">
        <v>22</v>
      </c>
      <c r="J512" t="s">
        <v>65</v>
      </c>
      <c r="K512" t="s">
        <v>23</v>
      </c>
      <c r="L512">
        <v>0</v>
      </c>
      <c r="M512" s="1">
        <v>43466</v>
      </c>
      <c r="N512" t="s">
        <v>24</v>
      </c>
      <c r="O512" t="s">
        <v>25</v>
      </c>
      <c r="Q512" s="1">
        <v>43852</v>
      </c>
    </row>
    <row r="513" spans="1:17" x14ac:dyDescent="0.5">
      <c r="A513" t="s">
        <v>208</v>
      </c>
      <c r="B513">
        <v>1.60261822110088E+17</v>
      </c>
      <c r="C513" t="s">
        <v>19</v>
      </c>
      <c r="D513" s="1">
        <v>43251</v>
      </c>
      <c r="E513" s="1">
        <v>43373</v>
      </c>
      <c r="F513" t="s">
        <v>202</v>
      </c>
      <c r="G513">
        <v>3</v>
      </c>
      <c r="H513" t="s">
        <v>64</v>
      </c>
      <c r="I513" t="s">
        <v>22</v>
      </c>
      <c r="J513" t="s">
        <v>65</v>
      </c>
      <c r="K513" t="s">
        <v>23</v>
      </c>
      <c r="L513">
        <v>8268.1299999999992</v>
      </c>
      <c r="M513" s="1">
        <v>43373</v>
      </c>
      <c r="N513" t="s">
        <v>24</v>
      </c>
      <c r="O513" t="s">
        <v>25</v>
      </c>
      <c r="Q513" s="1">
        <v>43852</v>
      </c>
    </row>
    <row r="514" spans="1:17" x14ac:dyDescent="0.5">
      <c r="A514" t="s">
        <v>404</v>
      </c>
      <c r="B514">
        <v>3.1142029974272998E+18</v>
      </c>
      <c r="C514" t="s">
        <v>19</v>
      </c>
      <c r="D514" s="1">
        <v>43727</v>
      </c>
      <c r="E514" s="1">
        <v>44092</v>
      </c>
      <c r="F514" t="s">
        <v>36</v>
      </c>
      <c r="G514">
        <v>3</v>
      </c>
      <c r="H514" t="s">
        <v>64</v>
      </c>
      <c r="I514" t="s">
        <v>22</v>
      </c>
      <c r="J514" t="s">
        <v>65</v>
      </c>
      <c r="K514" t="s">
        <v>23</v>
      </c>
      <c r="L514">
        <v>12500.13</v>
      </c>
      <c r="M514" s="1">
        <v>43727</v>
      </c>
      <c r="N514" t="s">
        <v>24</v>
      </c>
      <c r="O514" t="s">
        <v>23</v>
      </c>
      <c r="Q514" s="1">
        <v>43852</v>
      </c>
    </row>
    <row r="515" spans="1:17" x14ac:dyDescent="0.5">
      <c r="A515" t="s">
        <v>404</v>
      </c>
      <c r="B515">
        <v>3.1242015891005998E+18</v>
      </c>
      <c r="C515" t="s">
        <v>19</v>
      </c>
      <c r="D515" s="1">
        <v>43186</v>
      </c>
      <c r="E515" s="1">
        <v>43550</v>
      </c>
      <c r="F515" t="s">
        <v>36</v>
      </c>
      <c r="G515">
        <v>3</v>
      </c>
      <c r="H515" t="s">
        <v>64</v>
      </c>
      <c r="I515" t="s">
        <v>22</v>
      </c>
      <c r="J515" t="s">
        <v>65</v>
      </c>
      <c r="K515" t="s">
        <v>23</v>
      </c>
      <c r="L515">
        <v>10584.15</v>
      </c>
      <c r="M515" s="1">
        <v>43186</v>
      </c>
      <c r="N515" t="s">
        <v>24</v>
      </c>
      <c r="O515" t="s">
        <v>25</v>
      </c>
      <c r="Q515" s="1">
        <v>43852</v>
      </c>
    </row>
    <row r="516" spans="1:17" x14ac:dyDescent="0.5">
      <c r="A516" t="s">
        <v>404</v>
      </c>
      <c r="B516">
        <v>3.1242015891005998E+18</v>
      </c>
      <c r="C516" t="s">
        <v>19</v>
      </c>
      <c r="D516" s="1">
        <v>43467</v>
      </c>
      <c r="E516" s="1">
        <v>43830</v>
      </c>
      <c r="F516" t="s">
        <v>37</v>
      </c>
      <c r="G516">
        <v>3</v>
      </c>
      <c r="H516" t="s">
        <v>64</v>
      </c>
      <c r="I516" t="s">
        <v>22</v>
      </c>
      <c r="J516" t="s">
        <v>65</v>
      </c>
      <c r="K516" t="s">
        <v>23</v>
      </c>
      <c r="L516">
        <v>14393.8</v>
      </c>
      <c r="M516" s="1">
        <v>43467</v>
      </c>
      <c r="N516" t="s">
        <v>24</v>
      </c>
      <c r="O516" t="s">
        <v>25</v>
      </c>
      <c r="Q516" s="1">
        <v>43852</v>
      </c>
    </row>
    <row r="517" spans="1:17" x14ac:dyDescent="0.5">
      <c r="A517" t="s">
        <v>404</v>
      </c>
      <c r="B517" t="s">
        <v>405</v>
      </c>
      <c r="C517" t="s">
        <v>31</v>
      </c>
      <c r="D517" s="1">
        <v>43235</v>
      </c>
      <c r="E517" s="1">
        <v>43599</v>
      </c>
      <c r="F517" t="s">
        <v>36</v>
      </c>
      <c r="G517">
        <v>3</v>
      </c>
      <c r="H517" t="s">
        <v>64</v>
      </c>
      <c r="I517" t="s">
        <v>22</v>
      </c>
      <c r="J517" t="s">
        <v>65</v>
      </c>
      <c r="K517" t="s">
        <v>23</v>
      </c>
      <c r="L517">
        <v>691.85</v>
      </c>
      <c r="M517" s="1">
        <v>43235</v>
      </c>
      <c r="N517" t="s">
        <v>24</v>
      </c>
      <c r="O517" t="s">
        <v>25</v>
      </c>
      <c r="Q517" s="1">
        <v>43852</v>
      </c>
    </row>
    <row r="518" spans="1:17" x14ac:dyDescent="0.5">
      <c r="A518" t="s">
        <v>404</v>
      </c>
      <c r="B518" t="s">
        <v>406</v>
      </c>
      <c r="C518" t="s">
        <v>19</v>
      </c>
      <c r="D518" s="1">
        <v>43600</v>
      </c>
      <c r="E518" s="1">
        <v>43965</v>
      </c>
      <c r="F518" t="s">
        <v>36</v>
      </c>
      <c r="G518">
        <v>3</v>
      </c>
      <c r="H518" t="s">
        <v>64</v>
      </c>
      <c r="I518" t="s">
        <v>22</v>
      </c>
      <c r="J518" t="s">
        <v>65</v>
      </c>
      <c r="K518" t="s">
        <v>23</v>
      </c>
      <c r="L518">
        <v>691.85</v>
      </c>
      <c r="M518" s="1">
        <v>43600</v>
      </c>
      <c r="N518" t="s">
        <v>24</v>
      </c>
      <c r="O518" t="s">
        <v>23</v>
      </c>
      <c r="Q518" s="1">
        <v>43852</v>
      </c>
    </row>
    <row r="519" spans="1:17" x14ac:dyDescent="0.5">
      <c r="A519" t="s">
        <v>404</v>
      </c>
      <c r="B519" t="s">
        <v>407</v>
      </c>
      <c r="C519" t="s">
        <v>19</v>
      </c>
      <c r="D519" s="1">
        <v>42969</v>
      </c>
      <c r="E519" s="1">
        <v>43333</v>
      </c>
      <c r="F519" t="s">
        <v>36</v>
      </c>
      <c r="G519">
        <v>3</v>
      </c>
      <c r="H519" t="s">
        <v>64</v>
      </c>
      <c r="I519" t="s">
        <v>22</v>
      </c>
      <c r="J519" t="s">
        <v>65</v>
      </c>
      <c r="K519" t="s">
        <v>23</v>
      </c>
      <c r="L519">
        <v>10964.79</v>
      </c>
      <c r="M519" s="1">
        <v>42969</v>
      </c>
      <c r="N519" t="s">
        <v>24</v>
      </c>
      <c r="O519" t="s">
        <v>25</v>
      </c>
      <c r="Q519" s="1">
        <v>43852</v>
      </c>
    </row>
    <row r="520" spans="1:17" x14ac:dyDescent="0.5">
      <c r="A520" t="s">
        <v>404</v>
      </c>
      <c r="B520" t="s">
        <v>408</v>
      </c>
      <c r="C520" t="s">
        <v>31</v>
      </c>
      <c r="D520" s="1">
        <v>43334</v>
      </c>
      <c r="E520" s="1">
        <v>43698</v>
      </c>
      <c r="F520" t="s">
        <v>36</v>
      </c>
      <c r="G520">
        <v>3</v>
      </c>
      <c r="H520" t="s">
        <v>64</v>
      </c>
      <c r="I520" t="s">
        <v>22</v>
      </c>
      <c r="J520" t="s">
        <v>65</v>
      </c>
      <c r="K520" t="s">
        <v>23</v>
      </c>
      <c r="L520">
        <v>13630.7</v>
      </c>
      <c r="M520" s="1">
        <v>43698</v>
      </c>
      <c r="N520" t="s">
        <v>24</v>
      </c>
      <c r="O520" t="s">
        <v>25</v>
      </c>
      <c r="Q520" s="1">
        <v>43852</v>
      </c>
    </row>
    <row r="521" spans="1:17" x14ac:dyDescent="0.5">
      <c r="A521" t="s">
        <v>404</v>
      </c>
      <c r="B521" t="s">
        <v>409</v>
      </c>
      <c r="C521" t="s">
        <v>19</v>
      </c>
      <c r="D521" s="1">
        <v>43738</v>
      </c>
      <c r="E521" s="1">
        <v>44103</v>
      </c>
      <c r="F521" t="s">
        <v>40</v>
      </c>
      <c r="G521">
        <v>10</v>
      </c>
      <c r="H521" t="s">
        <v>41</v>
      </c>
      <c r="I521" t="s">
        <v>22</v>
      </c>
      <c r="J521" t="s">
        <v>42</v>
      </c>
      <c r="K521" t="s">
        <v>23</v>
      </c>
      <c r="L521">
        <v>123750</v>
      </c>
      <c r="M521" s="1">
        <v>43738</v>
      </c>
      <c r="N521" t="s">
        <v>24</v>
      </c>
      <c r="O521" t="s">
        <v>23</v>
      </c>
      <c r="Q521" s="1">
        <v>43852</v>
      </c>
    </row>
    <row r="522" spans="1:17" x14ac:dyDescent="0.5">
      <c r="A522" t="s">
        <v>404</v>
      </c>
      <c r="B522" t="s">
        <v>410</v>
      </c>
      <c r="C522" t="s">
        <v>31</v>
      </c>
      <c r="D522" s="1">
        <v>43246</v>
      </c>
      <c r="E522" s="1">
        <v>43610</v>
      </c>
      <c r="F522" t="s">
        <v>202</v>
      </c>
      <c r="G522">
        <v>12</v>
      </c>
      <c r="H522" t="s">
        <v>83</v>
      </c>
      <c r="I522" t="s">
        <v>22</v>
      </c>
      <c r="J522" t="s">
        <v>65</v>
      </c>
      <c r="K522" t="s">
        <v>23</v>
      </c>
      <c r="L522">
        <v>869.63</v>
      </c>
      <c r="M522" s="1">
        <v>43246</v>
      </c>
      <c r="N522" t="s">
        <v>24</v>
      </c>
      <c r="O522" t="s">
        <v>25</v>
      </c>
      <c r="Q522" s="1">
        <v>43852</v>
      </c>
    </row>
    <row r="523" spans="1:17" x14ac:dyDescent="0.5">
      <c r="A523" t="s">
        <v>404</v>
      </c>
      <c r="B523" t="s">
        <v>411</v>
      </c>
      <c r="C523" t="s">
        <v>19</v>
      </c>
      <c r="D523" s="1">
        <v>43611</v>
      </c>
      <c r="E523" s="1">
        <v>43976</v>
      </c>
      <c r="F523" t="s">
        <v>202</v>
      </c>
      <c r="G523">
        <v>3</v>
      </c>
      <c r="H523" t="s">
        <v>64</v>
      </c>
      <c r="I523" t="s">
        <v>22</v>
      </c>
      <c r="J523" t="s">
        <v>65</v>
      </c>
      <c r="K523" t="s">
        <v>23</v>
      </c>
      <c r="L523">
        <v>869.63</v>
      </c>
      <c r="M523" s="1">
        <v>43611</v>
      </c>
      <c r="N523" t="s">
        <v>24</v>
      </c>
      <c r="O523" t="s">
        <v>23</v>
      </c>
      <c r="Q523" s="1">
        <v>43852</v>
      </c>
    </row>
    <row r="524" spans="1:17" x14ac:dyDescent="0.5">
      <c r="A524" t="s">
        <v>404</v>
      </c>
      <c r="B524" t="s">
        <v>412</v>
      </c>
      <c r="C524" t="s">
        <v>19</v>
      </c>
      <c r="D524" s="1">
        <v>43147</v>
      </c>
      <c r="E524" s="1">
        <v>43511</v>
      </c>
      <c r="F524" t="s">
        <v>37</v>
      </c>
      <c r="G524">
        <v>3</v>
      </c>
      <c r="H524" t="s">
        <v>64</v>
      </c>
      <c r="I524" t="s">
        <v>22</v>
      </c>
      <c r="J524" t="s">
        <v>65</v>
      </c>
      <c r="K524" t="s">
        <v>23</v>
      </c>
      <c r="L524">
        <v>1562.5</v>
      </c>
      <c r="M524" s="1">
        <v>43512</v>
      </c>
      <c r="N524" t="s">
        <v>24</v>
      </c>
      <c r="O524" t="s">
        <v>25</v>
      </c>
      <c r="Q524" s="1">
        <v>43852</v>
      </c>
    </row>
    <row r="525" spans="1:17" x14ac:dyDescent="0.5">
      <c r="A525" t="s">
        <v>404</v>
      </c>
      <c r="B525" t="s">
        <v>413</v>
      </c>
      <c r="C525" t="s">
        <v>31</v>
      </c>
      <c r="D525" s="1">
        <v>43466</v>
      </c>
      <c r="E525" s="1">
        <v>43830</v>
      </c>
      <c r="F525" t="s">
        <v>36</v>
      </c>
      <c r="G525">
        <v>4</v>
      </c>
      <c r="H525" t="s">
        <v>317</v>
      </c>
      <c r="I525" t="s">
        <v>22</v>
      </c>
      <c r="J525" t="s">
        <v>144</v>
      </c>
      <c r="K525" t="s">
        <v>23</v>
      </c>
      <c r="L525">
        <v>43367</v>
      </c>
      <c r="M525" s="1">
        <v>43647</v>
      </c>
      <c r="N525" t="s">
        <v>24</v>
      </c>
      <c r="O525" t="s">
        <v>252</v>
      </c>
      <c r="P525" t="s">
        <v>282</v>
      </c>
      <c r="Q525" s="1">
        <v>43852</v>
      </c>
    </row>
    <row r="526" spans="1:17" x14ac:dyDescent="0.5">
      <c r="A526" t="s">
        <v>404</v>
      </c>
      <c r="B526" t="s">
        <v>413</v>
      </c>
      <c r="C526" t="s">
        <v>31</v>
      </c>
      <c r="D526" s="1">
        <v>43466</v>
      </c>
      <c r="E526" s="1">
        <v>43830</v>
      </c>
      <c r="F526" t="s">
        <v>36</v>
      </c>
      <c r="G526">
        <v>4</v>
      </c>
      <c r="H526" t="s">
        <v>317</v>
      </c>
      <c r="I526" t="s">
        <v>22</v>
      </c>
      <c r="J526" t="s">
        <v>144</v>
      </c>
      <c r="K526" t="s">
        <v>23</v>
      </c>
      <c r="L526">
        <v>43367</v>
      </c>
      <c r="M526" s="1">
        <v>43739</v>
      </c>
      <c r="N526" t="s">
        <v>24</v>
      </c>
      <c r="O526" t="s">
        <v>252</v>
      </c>
      <c r="P526" t="s">
        <v>282</v>
      </c>
      <c r="Q526" s="1">
        <v>43852</v>
      </c>
    </row>
    <row r="527" spans="1:17" x14ac:dyDescent="0.5">
      <c r="A527" t="s">
        <v>404</v>
      </c>
      <c r="B527" t="s">
        <v>413</v>
      </c>
      <c r="C527" t="s">
        <v>31</v>
      </c>
      <c r="D527" s="1">
        <v>43466</v>
      </c>
      <c r="E527" s="1">
        <v>43830</v>
      </c>
      <c r="F527" t="s">
        <v>36</v>
      </c>
      <c r="G527">
        <v>4</v>
      </c>
      <c r="H527" t="s">
        <v>317</v>
      </c>
      <c r="I527" t="s">
        <v>22</v>
      </c>
      <c r="J527" t="s">
        <v>144</v>
      </c>
      <c r="K527" t="s">
        <v>23</v>
      </c>
      <c r="L527">
        <v>65050.5</v>
      </c>
      <c r="M527" s="1">
        <v>43466</v>
      </c>
      <c r="N527" t="s">
        <v>24</v>
      </c>
      <c r="O527" t="s">
        <v>252</v>
      </c>
      <c r="P527" t="s">
        <v>282</v>
      </c>
      <c r="Q527" s="1">
        <v>43852</v>
      </c>
    </row>
    <row r="528" spans="1:17" x14ac:dyDescent="0.5">
      <c r="A528" t="s">
        <v>404</v>
      </c>
      <c r="B528" t="s">
        <v>413</v>
      </c>
      <c r="C528" t="s">
        <v>31</v>
      </c>
      <c r="D528" s="1">
        <v>43466</v>
      </c>
      <c r="E528" s="1">
        <v>43830</v>
      </c>
      <c r="F528" t="s">
        <v>36</v>
      </c>
      <c r="G528">
        <v>4</v>
      </c>
      <c r="H528" t="s">
        <v>317</v>
      </c>
      <c r="I528" t="s">
        <v>22</v>
      </c>
      <c r="J528" t="s">
        <v>144</v>
      </c>
      <c r="K528" t="s">
        <v>23</v>
      </c>
      <c r="L528">
        <v>65050.5</v>
      </c>
      <c r="M528" s="1">
        <v>43556</v>
      </c>
      <c r="N528" t="s">
        <v>24</v>
      </c>
      <c r="O528" t="s">
        <v>252</v>
      </c>
      <c r="P528" t="s">
        <v>282</v>
      </c>
      <c r="Q528" s="1">
        <v>43852</v>
      </c>
    </row>
    <row r="529" spans="1:17" x14ac:dyDescent="0.5">
      <c r="A529" t="s">
        <v>404</v>
      </c>
      <c r="B529" t="s">
        <v>414</v>
      </c>
      <c r="C529" t="s">
        <v>31</v>
      </c>
      <c r="D529" s="1">
        <v>43466</v>
      </c>
      <c r="E529" s="1">
        <v>43830</v>
      </c>
      <c r="F529" t="s">
        <v>36</v>
      </c>
      <c r="G529">
        <v>4</v>
      </c>
      <c r="H529" t="s">
        <v>317</v>
      </c>
      <c r="I529" t="s">
        <v>22</v>
      </c>
      <c r="J529" t="s">
        <v>144</v>
      </c>
      <c r="K529" t="s">
        <v>23</v>
      </c>
      <c r="L529">
        <v>10824.4</v>
      </c>
      <c r="M529" s="1">
        <v>43647</v>
      </c>
      <c r="N529" t="s">
        <v>24</v>
      </c>
      <c r="O529" t="s">
        <v>252</v>
      </c>
      <c r="P529" t="s">
        <v>282</v>
      </c>
      <c r="Q529" s="1">
        <v>43852</v>
      </c>
    </row>
    <row r="530" spans="1:17" x14ac:dyDescent="0.5">
      <c r="A530" t="s">
        <v>404</v>
      </c>
      <c r="B530" t="s">
        <v>414</v>
      </c>
      <c r="C530" t="s">
        <v>31</v>
      </c>
      <c r="D530" s="1">
        <v>43466</v>
      </c>
      <c r="E530" s="1">
        <v>43830</v>
      </c>
      <c r="F530" t="s">
        <v>36</v>
      </c>
      <c r="G530">
        <v>4</v>
      </c>
      <c r="H530" t="s">
        <v>317</v>
      </c>
      <c r="I530" t="s">
        <v>22</v>
      </c>
      <c r="J530" t="s">
        <v>144</v>
      </c>
      <c r="K530" t="s">
        <v>23</v>
      </c>
      <c r="L530">
        <v>10824.4</v>
      </c>
      <c r="M530" s="1">
        <v>43739</v>
      </c>
      <c r="N530" t="s">
        <v>24</v>
      </c>
      <c r="O530" t="s">
        <v>252</v>
      </c>
      <c r="P530" t="s">
        <v>282</v>
      </c>
      <c r="Q530" s="1">
        <v>43852</v>
      </c>
    </row>
    <row r="531" spans="1:17" x14ac:dyDescent="0.5">
      <c r="A531" t="s">
        <v>404</v>
      </c>
      <c r="B531" t="s">
        <v>414</v>
      </c>
      <c r="C531" t="s">
        <v>31</v>
      </c>
      <c r="D531" s="1">
        <v>43466</v>
      </c>
      <c r="E531" s="1">
        <v>43830</v>
      </c>
      <c r="F531" t="s">
        <v>36</v>
      </c>
      <c r="G531">
        <v>4</v>
      </c>
      <c r="H531" t="s">
        <v>317</v>
      </c>
      <c r="I531" t="s">
        <v>22</v>
      </c>
      <c r="J531" t="s">
        <v>144</v>
      </c>
      <c r="K531" t="s">
        <v>23</v>
      </c>
      <c r="L531">
        <v>16236.6</v>
      </c>
      <c r="M531" s="1">
        <v>43466</v>
      </c>
      <c r="N531" t="s">
        <v>24</v>
      </c>
      <c r="O531" t="s">
        <v>252</v>
      </c>
      <c r="P531" t="s">
        <v>282</v>
      </c>
      <c r="Q531" s="1">
        <v>43852</v>
      </c>
    </row>
    <row r="532" spans="1:17" x14ac:dyDescent="0.5">
      <c r="A532" t="s">
        <v>404</v>
      </c>
      <c r="B532" t="s">
        <v>414</v>
      </c>
      <c r="C532" t="s">
        <v>31</v>
      </c>
      <c r="D532" s="1">
        <v>43466</v>
      </c>
      <c r="E532" s="1">
        <v>43830</v>
      </c>
      <c r="F532" t="s">
        <v>36</v>
      </c>
      <c r="G532">
        <v>4</v>
      </c>
      <c r="H532" t="s">
        <v>317</v>
      </c>
      <c r="I532" t="s">
        <v>22</v>
      </c>
      <c r="J532" t="s">
        <v>144</v>
      </c>
      <c r="K532" t="s">
        <v>23</v>
      </c>
      <c r="L532">
        <v>16236.6</v>
      </c>
      <c r="M532" s="1">
        <v>43556</v>
      </c>
      <c r="N532" t="s">
        <v>24</v>
      </c>
      <c r="O532" t="s">
        <v>252</v>
      </c>
      <c r="P532" t="s">
        <v>282</v>
      </c>
      <c r="Q532" s="1">
        <v>43852</v>
      </c>
    </row>
    <row r="533" spans="1:17" x14ac:dyDescent="0.5">
      <c r="A533" t="s">
        <v>404</v>
      </c>
      <c r="B533" t="s">
        <v>415</v>
      </c>
      <c r="C533" t="s">
        <v>31</v>
      </c>
      <c r="D533" s="1">
        <v>43101</v>
      </c>
      <c r="E533" s="1">
        <v>43465</v>
      </c>
      <c r="F533" t="s">
        <v>20</v>
      </c>
      <c r="G533">
        <v>3</v>
      </c>
      <c r="H533" t="s">
        <v>64</v>
      </c>
      <c r="I533" t="s">
        <v>22</v>
      </c>
      <c r="J533" t="s">
        <v>65</v>
      </c>
      <c r="K533" t="s">
        <v>23</v>
      </c>
      <c r="L533">
        <v>36612.18</v>
      </c>
      <c r="M533" s="1">
        <v>43101</v>
      </c>
      <c r="N533" t="s">
        <v>24</v>
      </c>
      <c r="O533" t="s">
        <v>25</v>
      </c>
      <c r="Q533" s="1">
        <v>43852</v>
      </c>
    </row>
    <row r="534" spans="1:17" x14ac:dyDescent="0.5">
      <c r="A534" t="s">
        <v>404</v>
      </c>
      <c r="B534" t="s">
        <v>416</v>
      </c>
      <c r="C534" t="s">
        <v>31</v>
      </c>
      <c r="D534" s="1">
        <v>43101</v>
      </c>
      <c r="E534" s="1">
        <v>43465</v>
      </c>
      <c r="F534" t="s">
        <v>37</v>
      </c>
      <c r="G534">
        <v>3</v>
      </c>
      <c r="H534" t="s">
        <v>64</v>
      </c>
      <c r="I534" t="s">
        <v>22</v>
      </c>
      <c r="J534" t="s">
        <v>65</v>
      </c>
      <c r="K534" t="s">
        <v>23</v>
      </c>
      <c r="L534">
        <v>28735.65</v>
      </c>
      <c r="M534" s="1">
        <v>43101</v>
      </c>
      <c r="N534" t="s">
        <v>24</v>
      </c>
      <c r="O534" t="s">
        <v>25</v>
      </c>
      <c r="Q534" s="1">
        <v>43852</v>
      </c>
    </row>
    <row r="535" spans="1:17" x14ac:dyDescent="0.5">
      <c r="A535" t="s">
        <v>404</v>
      </c>
      <c r="B535" t="s">
        <v>417</v>
      </c>
      <c r="C535" t="s">
        <v>19</v>
      </c>
      <c r="D535" s="1">
        <v>43466</v>
      </c>
      <c r="E535" s="1">
        <v>43830</v>
      </c>
      <c r="F535" t="s">
        <v>20</v>
      </c>
      <c r="G535">
        <v>3</v>
      </c>
      <c r="H535" t="s">
        <v>64</v>
      </c>
      <c r="I535" t="s">
        <v>22</v>
      </c>
      <c r="J535" t="s">
        <v>65</v>
      </c>
      <c r="K535" t="s">
        <v>23</v>
      </c>
      <c r="L535">
        <v>53277.919999999998</v>
      </c>
      <c r="M535" s="1">
        <v>43466</v>
      </c>
      <c r="N535" t="s">
        <v>24</v>
      </c>
      <c r="O535" t="s">
        <v>23</v>
      </c>
      <c r="Q535" s="1">
        <v>43852</v>
      </c>
    </row>
    <row r="536" spans="1:17" x14ac:dyDescent="0.5">
      <c r="A536" t="s">
        <v>404</v>
      </c>
      <c r="B536" t="s">
        <v>418</v>
      </c>
      <c r="C536" t="s">
        <v>19</v>
      </c>
      <c r="D536" s="1">
        <v>43466</v>
      </c>
      <c r="E536" s="1">
        <v>43830</v>
      </c>
      <c r="F536" t="s">
        <v>37</v>
      </c>
      <c r="G536">
        <v>3</v>
      </c>
      <c r="H536" t="s">
        <v>64</v>
      </c>
      <c r="I536" t="s">
        <v>22</v>
      </c>
      <c r="J536" t="s">
        <v>65</v>
      </c>
      <c r="K536" t="s">
        <v>23</v>
      </c>
      <c r="L536">
        <v>30048.080000000002</v>
      </c>
      <c r="M536" s="1">
        <v>43466</v>
      </c>
      <c r="N536" t="s">
        <v>24</v>
      </c>
      <c r="O536" t="s">
        <v>23</v>
      </c>
      <c r="Q536" s="1">
        <v>43852</v>
      </c>
    </row>
    <row r="537" spans="1:17" x14ac:dyDescent="0.5">
      <c r="A537" t="s">
        <v>404</v>
      </c>
      <c r="B537" t="s">
        <v>419</v>
      </c>
      <c r="C537" t="s">
        <v>19</v>
      </c>
      <c r="D537" s="1">
        <v>43486</v>
      </c>
      <c r="E537" s="1">
        <v>43850</v>
      </c>
      <c r="F537" t="s">
        <v>40</v>
      </c>
      <c r="G537">
        <v>3</v>
      </c>
      <c r="H537" t="s">
        <v>64</v>
      </c>
      <c r="I537" t="s">
        <v>22</v>
      </c>
      <c r="J537" t="s">
        <v>65</v>
      </c>
      <c r="K537" t="s">
        <v>66</v>
      </c>
      <c r="L537">
        <v>15084.15</v>
      </c>
      <c r="M537" s="1">
        <v>43486</v>
      </c>
      <c r="N537" t="s">
        <v>24</v>
      </c>
      <c r="O537" t="s">
        <v>25</v>
      </c>
      <c r="Q537" s="1">
        <v>43852</v>
      </c>
    </row>
    <row r="538" spans="1:17" x14ac:dyDescent="0.5">
      <c r="A538" t="s">
        <v>404</v>
      </c>
      <c r="B538">
        <v>2250007836</v>
      </c>
      <c r="C538" t="s">
        <v>31</v>
      </c>
      <c r="D538" s="1">
        <v>43138</v>
      </c>
      <c r="E538" s="1">
        <v>43502</v>
      </c>
      <c r="F538" t="s">
        <v>36</v>
      </c>
      <c r="G538">
        <v>1</v>
      </c>
      <c r="H538" t="s">
        <v>21</v>
      </c>
      <c r="I538" t="s">
        <v>22</v>
      </c>
      <c r="J538" t="s">
        <v>37</v>
      </c>
      <c r="K538" t="s">
        <v>66</v>
      </c>
      <c r="L538">
        <v>1013.88</v>
      </c>
      <c r="M538" s="1">
        <v>43138</v>
      </c>
      <c r="N538" t="s">
        <v>24</v>
      </c>
      <c r="O538" t="s">
        <v>252</v>
      </c>
      <c r="P538" t="s">
        <v>355</v>
      </c>
      <c r="Q538" s="1">
        <v>43852</v>
      </c>
    </row>
    <row r="539" spans="1:17" x14ac:dyDescent="0.5">
      <c r="A539" t="s">
        <v>404</v>
      </c>
      <c r="B539">
        <v>2250007837</v>
      </c>
      <c r="C539" t="s">
        <v>31</v>
      </c>
      <c r="D539" s="1">
        <v>43138</v>
      </c>
      <c r="E539" s="1">
        <v>43502</v>
      </c>
      <c r="F539" t="s">
        <v>36</v>
      </c>
      <c r="G539">
        <v>1</v>
      </c>
      <c r="H539" t="s">
        <v>21</v>
      </c>
      <c r="I539" t="s">
        <v>22</v>
      </c>
      <c r="J539" t="s">
        <v>37</v>
      </c>
      <c r="K539" t="s">
        <v>66</v>
      </c>
      <c r="L539">
        <v>1601.5</v>
      </c>
      <c r="M539" s="1">
        <v>43138</v>
      </c>
      <c r="N539" t="s">
        <v>24</v>
      </c>
      <c r="O539" t="s">
        <v>252</v>
      </c>
      <c r="P539" t="s">
        <v>420</v>
      </c>
      <c r="Q539" s="1">
        <v>43852</v>
      </c>
    </row>
    <row r="540" spans="1:17" x14ac:dyDescent="0.5">
      <c r="A540" t="s">
        <v>404</v>
      </c>
      <c r="B540" t="s">
        <v>421</v>
      </c>
      <c r="C540" t="s">
        <v>31</v>
      </c>
      <c r="D540" s="1">
        <v>43284</v>
      </c>
      <c r="E540" s="1">
        <v>43648</v>
      </c>
      <c r="F540" t="s">
        <v>37</v>
      </c>
      <c r="G540">
        <v>1</v>
      </c>
      <c r="H540" t="s">
        <v>21</v>
      </c>
      <c r="I540" t="s">
        <v>22</v>
      </c>
      <c r="J540" t="s">
        <v>37</v>
      </c>
      <c r="K540" t="s">
        <v>23</v>
      </c>
      <c r="L540">
        <v>37500</v>
      </c>
      <c r="M540" s="1">
        <v>43284</v>
      </c>
      <c r="N540" t="s">
        <v>24</v>
      </c>
      <c r="O540" t="s">
        <v>25</v>
      </c>
      <c r="Q540" s="1">
        <v>43852</v>
      </c>
    </row>
    <row r="541" spans="1:17" x14ac:dyDescent="0.5">
      <c r="A541" t="s">
        <v>404</v>
      </c>
      <c r="B541" t="s">
        <v>422</v>
      </c>
      <c r="C541" t="s">
        <v>19</v>
      </c>
      <c r="D541" s="1">
        <v>43649</v>
      </c>
      <c r="E541" s="1">
        <v>44014</v>
      </c>
      <c r="F541" t="s">
        <v>37</v>
      </c>
      <c r="G541">
        <v>1</v>
      </c>
      <c r="H541" t="s">
        <v>21</v>
      </c>
      <c r="I541" t="s">
        <v>22</v>
      </c>
      <c r="J541" t="s">
        <v>37</v>
      </c>
      <c r="K541" t="s">
        <v>23</v>
      </c>
      <c r="L541">
        <v>35000</v>
      </c>
      <c r="M541" s="1">
        <v>43649</v>
      </c>
      <c r="N541" t="s">
        <v>24</v>
      </c>
      <c r="O541" t="s">
        <v>23</v>
      </c>
      <c r="Q541" s="1">
        <v>43852</v>
      </c>
    </row>
    <row r="542" spans="1:17" x14ac:dyDescent="0.5">
      <c r="A542" t="s">
        <v>404</v>
      </c>
      <c r="B542">
        <v>9.9000011160099996E+19</v>
      </c>
      <c r="C542" t="s">
        <v>31</v>
      </c>
      <c r="D542" s="1">
        <v>42792</v>
      </c>
      <c r="E542" s="1">
        <v>43156</v>
      </c>
      <c r="F542" t="s">
        <v>32</v>
      </c>
      <c r="G542">
        <v>1</v>
      </c>
      <c r="H542" t="s">
        <v>21</v>
      </c>
      <c r="I542" t="s">
        <v>22</v>
      </c>
      <c r="J542" t="s">
        <v>33</v>
      </c>
      <c r="K542" t="s">
        <v>66</v>
      </c>
      <c r="L542">
        <v>992.51</v>
      </c>
      <c r="M542" s="1">
        <v>43156</v>
      </c>
      <c r="N542" t="s">
        <v>24</v>
      </c>
      <c r="O542" t="s">
        <v>252</v>
      </c>
      <c r="P542" t="s">
        <v>253</v>
      </c>
      <c r="Q542" s="1">
        <v>43852</v>
      </c>
    </row>
    <row r="543" spans="1:17" x14ac:dyDescent="0.5">
      <c r="A543" t="s">
        <v>404</v>
      </c>
      <c r="B543">
        <v>9.9000011160099996E+19</v>
      </c>
      <c r="C543" t="s">
        <v>19</v>
      </c>
      <c r="D543" s="1">
        <v>42792</v>
      </c>
      <c r="E543" s="1">
        <v>43156</v>
      </c>
      <c r="F543" t="s">
        <v>32</v>
      </c>
      <c r="G543">
        <v>1</v>
      </c>
      <c r="H543" t="s">
        <v>21</v>
      </c>
      <c r="I543" t="s">
        <v>22</v>
      </c>
      <c r="J543" t="s">
        <v>33</v>
      </c>
      <c r="K543" t="s">
        <v>66</v>
      </c>
      <c r="L543">
        <v>992.51</v>
      </c>
      <c r="M543" s="1">
        <v>43156</v>
      </c>
      <c r="N543" t="s">
        <v>24</v>
      </c>
      <c r="O543" t="s">
        <v>25</v>
      </c>
      <c r="Q543" s="1">
        <v>43852</v>
      </c>
    </row>
    <row r="544" spans="1:17" x14ac:dyDescent="0.5">
      <c r="A544" t="s">
        <v>404</v>
      </c>
      <c r="B544">
        <v>9.9000011160099996E+19</v>
      </c>
      <c r="C544" t="s">
        <v>31</v>
      </c>
      <c r="D544" s="1">
        <v>42735</v>
      </c>
      <c r="E544" s="1">
        <v>43099</v>
      </c>
      <c r="F544" t="s">
        <v>32</v>
      </c>
      <c r="G544">
        <v>1</v>
      </c>
      <c r="H544" t="s">
        <v>21</v>
      </c>
      <c r="I544" t="s">
        <v>22</v>
      </c>
      <c r="J544" t="s">
        <v>33</v>
      </c>
      <c r="K544" t="s">
        <v>66</v>
      </c>
      <c r="L544">
        <v>377079.15</v>
      </c>
      <c r="M544" s="1">
        <v>42735</v>
      </c>
      <c r="N544" t="s">
        <v>24</v>
      </c>
      <c r="O544" t="s">
        <v>252</v>
      </c>
      <c r="P544" t="s">
        <v>253</v>
      </c>
      <c r="Q544" s="1">
        <v>43852</v>
      </c>
    </row>
    <row r="545" spans="1:17" x14ac:dyDescent="0.5">
      <c r="A545" t="s">
        <v>404</v>
      </c>
      <c r="B545">
        <v>9.9000011170100003E+19</v>
      </c>
      <c r="C545" t="s">
        <v>31</v>
      </c>
      <c r="D545" s="1">
        <v>42914</v>
      </c>
      <c r="E545" s="1">
        <v>43278</v>
      </c>
      <c r="F545" t="s">
        <v>32</v>
      </c>
      <c r="G545">
        <v>1</v>
      </c>
      <c r="H545" t="s">
        <v>21</v>
      </c>
      <c r="I545" t="s">
        <v>22</v>
      </c>
      <c r="J545" t="s">
        <v>33</v>
      </c>
      <c r="K545" t="s">
        <v>66</v>
      </c>
      <c r="L545">
        <v>61251.58</v>
      </c>
      <c r="M545" s="1">
        <v>42914</v>
      </c>
      <c r="N545" t="s">
        <v>24</v>
      </c>
      <c r="O545" t="s">
        <v>25</v>
      </c>
      <c r="Q545" s="1">
        <v>43852</v>
      </c>
    </row>
    <row r="546" spans="1:17" x14ac:dyDescent="0.5">
      <c r="A546" t="s">
        <v>404</v>
      </c>
      <c r="B546" t="s">
        <v>423</v>
      </c>
      <c r="C546" t="s">
        <v>31</v>
      </c>
      <c r="D546" s="1">
        <v>42914</v>
      </c>
      <c r="E546" s="1">
        <v>43278</v>
      </c>
      <c r="F546" t="s">
        <v>32</v>
      </c>
      <c r="G546">
        <v>1</v>
      </c>
      <c r="H546" t="s">
        <v>21</v>
      </c>
      <c r="I546" t="s">
        <v>22</v>
      </c>
      <c r="J546" t="s">
        <v>33</v>
      </c>
      <c r="K546" t="s">
        <v>66</v>
      </c>
      <c r="L546">
        <v>62070.81</v>
      </c>
      <c r="M546" s="1">
        <v>42914</v>
      </c>
      <c r="N546" t="s">
        <v>24</v>
      </c>
      <c r="O546" t="s">
        <v>25</v>
      </c>
      <c r="Q546" s="1">
        <v>43852</v>
      </c>
    </row>
    <row r="547" spans="1:17" x14ac:dyDescent="0.5">
      <c r="A547" t="s">
        <v>404</v>
      </c>
      <c r="B547">
        <v>9.9000011170100003E+19</v>
      </c>
      <c r="C547" t="s">
        <v>19</v>
      </c>
      <c r="D547" s="1">
        <v>42922</v>
      </c>
      <c r="E547" s="1">
        <v>43286</v>
      </c>
      <c r="F547" t="s">
        <v>32</v>
      </c>
      <c r="G547">
        <v>1</v>
      </c>
      <c r="H547" t="s">
        <v>21</v>
      </c>
      <c r="I547" t="s">
        <v>22</v>
      </c>
      <c r="J547" t="s">
        <v>33</v>
      </c>
      <c r="K547" t="s">
        <v>66</v>
      </c>
      <c r="L547">
        <v>1261.8399999999999</v>
      </c>
      <c r="M547" s="1">
        <v>42922</v>
      </c>
      <c r="N547" t="s">
        <v>24</v>
      </c>
      <c r="O547" t="s">
        <v>25</v>
      </c>
      <c r="Q547" s="1">
        <v>43852</v>
      </c>
    </row>
    <row r="548" spans="1:17" x14ac:dyDescent="0.5">
      <c r="A548" t="s">
        <v>404</v>
      </c>
      <c r="B548">
        <v>9.9000011170100003E+19</v>
      </c>
      <c r="C548" t="s">
        <v>31</v>
      </c>
      <c r="D548" s="1">
        <v>43101</v>
      </c>
      <c r="E548" s="1">
        <v>43465</v>
      </c>
      <c r="F548" t="s">
        <v>32</v>
      </c>
      <c r="G548">
        <v>1</v>
      </c>
      <c r="H548" t="s">
        <v>21</v>
      </c>
      <c r="I548" t="s">
        <v>22</v>
      </c>
      <c r="J548" t="s">
        <v>33</v>
      </c>
      <c r="K548" t="s">
        <v>66</v>
      </c>
      <c r="L548">
        <v>349157.16</v>
      </c>
      <c r="M548" s="1">
        <v>43101</v>
      </c>
      <c r="N548" t="s">
        <v>24</v>
      </c>
      <c r="O548" t="s">
        <v>252</v>
      </c>
      <c r="P548" t="s">
        <v>253</v>
      </c>
      <c r="Q548" s="1">
        <v>43852</v>
      </c>
    </row>
    <row r="549" spans="1:17" x14ac:dyDescent="0.5">
      <c r="A549" t="s">
        <v>404</v>
      </c>
      <c r="B549" t="s">
        <v>424</v>
      </c>
      <c r="C549" t="s">
        <v>31</v>
      </c>
      <c r="D549" s="1">
        <v>43145</v>
      </c>
      <c r="E549" s="1">
        <v>43509</v>
      </c>
      <c r="F549" t="s">
        <v>32</v>
      </c>
      <c r="G549">
        <v>1</v>
      </c>
      <c r="H549" t="s">
        <v>21</v>
      </c>
      <c r="I549" t="s">
        <v>22</v>
      </c>
      <c r="J549" t="s">
        <v>54</v>
      </c>
      <c r="K549" t="s">
        <v>23</v>
      </c>
      <c r="L549">
        <v>107689.68</v>
      </c>
      <c r="M549" s="1">
        <v>43145</v>
      </c>
      <c r="N549" t="s">
        <v>24</v>
      </c>
      <c r="O549" t="s">
        <v>25</v>
      </c>
      <c r="Q549" s="1">
        <v>43852</v>
      </c>
    </row>
    <row r="550" spans="1:17" x14ac:dyDescent="0.5">
      <c r="A550" t="s">
        <v>404</v>
      </c>
      <c r="B550" t="s">
        <v>425</v>
      </c>
      <c r="C550" t="s">
        <v>31</v>
      </c>
      <c r="D550" s="1">
        <v>43301</v>
      </c>
      <c r="E550" s="1">
        <v>43665</v>
      </c>
      <c r="F550" t="s">
        <v>32</v>
      </c>
      <c r="G550">
        <v>1</v>
      </c>
      <c r="H550" t="s">
        <v>21</v>
      </c>
      <c r="I550" t="s">
        <v>22</v>
      </c>
      <c r="J550" t="s">
        <v>54</v>
      </c>
      <c r="K550" t="s">
        <v>23</v>
      </c>
      <c r="L550">
        <v>5417.97</v>
      </c>
      <c r="M550" s="1">
        <v>43301</v>
      </c>
      <c r="N550" t="s">
        <v>24</v>
      </c>
      <c r="O550" t="s">
        <v>25</v>
      </c>
      <c r="Q550" s="1">
        <v>43852</v>
      </c>
    </row>
    <row r="551" spans="1:17" x14ac:dyDescent="0.5">
      <c r="A551" t="s">
        <v>404</v>
      </c>
      <c r="B551">
        <v>9.9000011180099994E+19</v>
      </c>
      <c r="C551" t="s">
        <v>31</v>
      </c>
      <c r="D551" s="1">
        <v>43279</v>
      </c>
      <c r="E551" s="1">
        <v>43643</v>
      </c>
      <c r="F551" t="s">
        <v>32</v>
      </c>
      <c r="G551">
        <v>1</v>
      </c>
      <c r="H551" t="s">
        <v>21</v>
      </c>
      <c r="I551" t="s">
        <v>22</v>
      </c>
      <c r="J551" t="s">
        <v>33</v>
      </c>
      <c r="K551" t="s">
        <v>66</v>
      </c>
      <c r="L551">
        <v>61936.46</v>
      </c>
      <c r="M551" s="1">
        <v>43279</v>
      </c>
      <c r="N551" t="s">
        <v>24</v>
      </c>
      <c r="O551" t="s">
        <v>23</v>
      </c>
      <c r="Q551" s="1">
        <v>43852</v>
      </c>
    </row>
    <row r="552" spans="1:17" x14ac:dyDescent="0.5">
      <c r="A552" t="s">
        <v>404</v>
      </c>
      <c r="B552">
        <v>9.9000011180099994E+19</v>
      </c>
      <c r="C552" t="s">
        <v>31</v>
      </c>
      <c r="D552" s="1">
        <v>43279</v>
      </c>
      <c r="E552" s="1">
        <v>43643</v>
      </c>
      <c r="F552" t="s">
        <v>32</v>
      </c>
      <c r="G552">
        <v>1</v>
      </c>
      <c r="H552" t="s">
        <v>21</v>
      </c>
      <c r="I552" t="s">
        <v>22</v>
      </c>
      <c r="J552" t="s">
        <v>33</v>
      </c>
      <c r="K552" t="s">
        <v>66</v>
      </c>
      <c r="L552">
        <v>56276.26</v>
      </c>
      <c r="M552" s="1">
        <v>43279</v>
      </c>
      <c r="N552" t="s">
        <v>24</v>
      </c>
      <c r="O552" t="s">
        <v>23</v>
      </c>
      <c r="Q552" s="1">
        <v>43852</v>
      </c>
    </row>
    <row r="553" spans="1:17" x14ac:dyDescent="0.5">
      <c r="A553" t="s">
        <v>404</v>
      </c>
      <c r="B553" t="s">
        <v>426</v>
      </c>
      <c r="C553" t="s">
        <v>19</v>
      </c>
      <c r="D553" s="1">
        <v>43466</v>
      </c>
      <c r="E553" s="1">
        <v>43830</v>
      </c>
      <c r="F553" t="s">
        <v>32</v>
      </c>
      <c r="G553">
        <v>1</v>
      </c>
      <c r="H553" t="s">
        <v>21</v>
      </c>
      <c r="I553" t="s">
        <v>22</v>
      </c>
      <c r="J553" t="s">
        <v>33</v>
      </c>
      <c r="K553" t="s">
        <v>66</v>
      </c>
      <c r="L553">
        <v>399509.89</v>
      </c>
      <c r="M553" s="1">
        <v>43466</v>
      </c>
      <c r="N553" t="s">
        <v>24</v>
      </c>
      <c r="O553" t="s">
        <v>23</v>
      </c>
      <c r="Q553" s="1">
        <v>43852</v>
      </c>
    </row>
    <row r="554" spans="1:17" x14ac:dyDescent="0.5">
      <c r="A554" t="s">
        <v>404</v>
      </c>
      <c r="B554" t="s">
        <v>427</v>
      </c>
      <c r="C554" t="s">
        <v>19</v>
      </c>
      <c r="D554" s="1">
        <v>43481</v>
      </c>
      <c r="E554" s="1">
        <v>43845</v>
      </c>
      <c r="F554" t="s">
        <v>32</v>
      </c>
      <c r="G554">
        <v>1</v>
      </c>
      <c r="H554" t="s">
        <v>21</v>
      </c>
      <c r="I554" t="s">
        <v>22</v>
      </c>
      <c r="J554" t="s">
        <v>54</v>
      </c>
      <c r="K554" t="s">
        <v>23</v>
      </c>
      <c r="L554">
        <v>98931.05</v>
      </c>
      <c r="M554" s="1">
        <v>43481</v>
      </c>
      <c r="N554" t="s">
        <v>24</v>
      </c>
      <c r="O554" t="s">
        <v>25</v>
      </c>
      <c r="Q554" s="1">
        <v>43852</v>
      </c>
    </row>
    <row r="555" spans="1:17" x14ac:dyDescent="0.5">
      <c r="A555" t="s">
        <v>404</v>
      </c>
      <c r="B555" t="s">
        <v>428</v>
      </c>
      <c r="C555" t="s">
        <v>19</v>
      </c>
      <c r="D555" s="1">
        <v>43510</v>
      </c>
      <c r="E555" s="1">
        <v>43874</v>
      </c>
      <c r="F555" t="s">
        <v>32</v>
      </c>
      <c r="G555">
        <v>1</v>
      </c>
      <c r="H555" t="s">
        <v>21</v>
      </c>
      <c r="I555" t="s">
        <v>22</v>
      </c>
      <c r="J555" t="s">
        <v>54</v>
      </c>
      <c r="K555" t="s">
        <v>23</v>
      </c>
      <c r="L555">
        <v>1610</v>
      </c>
      <c r="M555" s="1">
        <v>43510</v>
      </c>
      <c r="N555" t="s">
        <v>24</v>
      </c>
      <c r="O555" t="s">
        <v>25</v>
      </c>
      <c r="Q555" s="1">
        <v>43852</v>
      </c>
    </row>
    <row r="556" spans="1:17" x14ac:dyDescent="0.5">
      <c r="A556" t="s">
        <v>404</v>
      </c>
      <c r="B556" t="s">
        <v>429</v>
      </c>
      <c r="C556" t="s">
        <v>19</v>
      </c>
      <c r="D556" s="1">
        <v>43510</v>
      </c>
      <c r="E556" s="1">
        <v>43874</v>
      </c>
      <c r="F556" t="s">
        <v>32</v>
      </c>
      <c r="G556">
        <v>1</v>
      </c>
      <c r="H556" t="s">
        <v>21</v>
      </c>
      <c r="I556" t="s">
        <v>22</v>
      </c>
      <c r="J556" t="s">
        <v>54</v>
      </c>
      <c r="K556" t="s">
        <v>23</v>
      </c>
      <c r="L556">
        <v>131090.46</v>
      </c>
      <c r="M556" s="1">
        <v>43522</v>
      </c>
      <c r="N556" t="s">
        <v>24</v>
      </c>
      <c r="O556" t="s">
        <v>23</v>
      </c>
      <c r="Q556" s="1">
        <v>43852</v>
      </c>
    </row>
    <row r="557" spans="1:17" x14ac:dyDescent="0.5">
      <c r="A557" t="s">
        <v>404</v>
      </c>
      <c r="B557" t="s">
        <v>430</v>
      </c>
      <c r="C557" t="s">
        <v>19</v>
      </c>
      <c r="D557" s="1">
        <v>43540</v>
      </c>
      <c r="E557" s="1">
        <v>43905</v>
      </c>
      <c r="F557" t="s">
        <v>32</v>
      </c>
      <c r="G557">
        <v>1</v>
      </c>
      <c r="H557" t="s">
        <v>21</v>
      </c>
      <c r="I557" t="s">
        <v>22</v>
      </c>
      <c r="J557" t="s">
        <v>54</v>
      </c>
      <c r="K557" t="s">
        <v>23</v>
      </c>
      <c r="L557">
        <v>2056.4299999999998</v>
      </c>
      <c r="M557" s="1">
        <v>43540</v>
      </c>
      <c r="N557" t="s">
        <v>24</v>
      </c>
      <c r="O557" t="s">
        <v>25</v>
      </c>
      <c r="Q557" s="1">
        <v>43852</v>
      </c>
    </row>
    <row r="558" spans="1:17" x14ac:dyDescent="0.5">
      <c r="A558" t="s">
        <v>404</v>
      </c>
      <c r="B558" t="s">
        <v>431</v>
      </c>
      <c r="C558" t="s">
        <v>19</v>
      </c>
      <c r="D558" s="1">
        <v>43536</v>
      </c>
      <c r="E558" s="1">
        <v>43901</v>
      </c>
      <c r="F558" t="s">
        <v>32</v>
      </c>
      <c r="G558">
        <v>1</v>
      </c>
      <c r="H558" t="s">
        <v>21</v>
      </c>
      <c r="I558" t="s">
        <v>22</v>
      </c>
      <c r="J558" t="s">
        <v>54</v>
      </c>
      <c r="K558" t="s">
        <v>23</v>
      </c>
      <c r="L558">
        <v>1194.28</v>
      </c>
      <c r="M558" s="1">
        <v>43536</v>
      </c>
      <c r="N558" t="s">
        <v>24</v>
      </c>
      <c r="O558" t="s">
        <v>25</v>
      </c>
      <c r="Q558" s="1">
        <v>43852</v>
      </c>
    </row>
    <row r="559" spans="1:17" x14ac:dyDescent="0.5">
      <c r="A559" t="s">
        <v>404</v>
      </c>
      <c r="B559" t="s">
        <v>432</v>
      </c>
      <c r="C559" t="s">
        <v>19</v>
      </c>
      <c r="D559" s="1">
        <v>43644</v>
      </c>
      <c r="E559" s="1">
        <v>44009</v>
      </c>
      <c r="F559" t="s">
        <v>32</v>
      </c>
      <c r="G559">
        <v>1</v>
      </c>
      <c r="H559" t="s">
        <v>21</v>
      </c>
      <c r="I559" t="s">
        <v>22</v>
      </c>
      <c r="J559" t="s">
        <v>33</v>
      </c>
      <c r="K559" t="s">
        <v>66</v>
      </c>
      <c r="L559">
        <v>75395.039999999994</v>
      </c>
      <c r="M559" s="1">
        <v>43644</v>
      </c>
      <c r="N559" t="s">
        <v>24</v>
      </c>
      <c r="O559" t="s">
        <v>23</v>
      </c>
      <c r="Q559" s="1">
        <v>43852</v>
      </c>
    </row>
    <row r="560" spans="1:17" x14ac:dyDescent="0.5">
      <c r="A560" t="s">
        <v>404</v>
      </c>
      <c r="B560" t="s">
        <v>433</v>
      </c>
      <c r="C560" t="s">
        <v>19</v>
      </c>
      <c r="D560" s="1">
        <v>43644</v>
      </c>
      <c r="E560" s="1">
        <v>44009</v>
      </c>
      <c r="F560" t="s">
        <v>32</v>
      </c>
      <c r="G560">
        <v>1</v>
      </c>
      <c r="H560" t="s">
        <v>21</v>
      </c>
      <c r="I560" t="s">
        <v>22</v>
      </c>
      <c r="J560" t="s">
        <v>33</v>
      </c>
      <c r="K560" t="s">
        <v>66</v>
      </c>
      <c r="L560">
        <v>53595</v>
      </c>
      <c r="M560" s="1">
        <v>43644</v>
      </c>
      <c r="N560" t="s">
        <v>24</v>
      </c>
      <c r="O560" t="s">
        <v>23</v>
      </c>
      <c r="Q560" s="1">
        <v>43852</v>
      </c>
    </row>
    <row r="561" spans="1:17" x14ac:dyDescent="0.5">
      <c r="A561" t="s">
        <v>404</v>
      </c>
      <c r="B561" t="s">
        <v>434</v>
      </c>
      <c r="C561" t="s">
        <v>19</v>
      </c>
      <c r="D561" s="1">
        <v>43666</v>
      </c>
      <c r="E561" s="1">
        <v>44031</v>
      </c>
      <c r="F561" t="s">
        <v>32</v>
      </c>
      <c r="G561">
        <v>1</v>
      </c>
      <c r="H561" t="s">
        <v>21</v>
      </c>
      <c r="I561" t="s">
        <v>22</v>
      </c>
      <c r="J561" t="s">
        <v>54</v>
      </c>
      <c r="K561" t="s">
        <v>23</v>
      </c>
      <c r="L561">
        <v>6595.25</v>
      </c>
      <c r="M561" s="1">
        <v>43666</v>
      </c>
      <c r="N561" t="s">
        <v>24</v>
      </c>
      <c r="O561" t="s">
        <v>23</v>
      </c>
      <c r="Q561" s="1">
        <v>43852</v>
      </c>
    </row>
    <row r="562" spans="1:17" x14ac:dyDescent="0.5">
      <c r="A562" t="s">
        <v>404</v>
      </c>
      <c r="B562">
        <v>9.9000021170200003E+19</v>
      </c>
      <c r="C562" t="s">
        <v>19</v>
      </c>
      <c r="D562" s="1">
        <v>42892</v>
      </c>
      <c r="E562" s="1">
        <v>43256</v>
      </c>
      <c r="F562" t="s">
        <v>20</v>
      </c>
      <c r="G562">
        <v>1</v>
      </c>
      <c r="H562" t="s">
        <v>21</v>
      </c>
      <c r="I562" t="s">
        <v>22</v>
      </c>
      <c r="J562" t="s">
        <v>33</v>
      </c>
      <c r="K562" t="s">
        <v>66</v>
      </c>
      <c r="L562">
        <v>2887.38</v>
      </c>
      <c r="M562" s="1">
        <v>42922</v>
      </c>
      <c r="N562" t="s">
        <v>24</v>
      </c>
      <c r="O562" t="s">
        <v>25</v>
      </c>
      <c r="Q562" s="1">
        <v>43852</v>
      </c>
    </row>
    <row r="563" spans="1:17" x14ac:dyDescent="0.5">
      <c r="A563" t="s">
        <v>404</v>
      </c>
      <c r="B563" t="s">
        <v>435</v>
      </c>
      <c r="C563" t="s">
        <v>19</v>
      </c>
      <c r="D563" s="1">
        <v>43494</v>
      </c>
      <c r="E563" s="1">
        <v>43858</v>
      </c>
      <c r="F563" t="s">
        <v>20</v>
      </c>
      <c r="G563">
        <v>1</v>
      </c>
      <c r="H563" t="s">
        <v>21</v>
      </c>
      <c r="I563" t="s">
        <v>22</v>
      </c>
      <c r="J563" t="s">
        <v>20</v>
      </c>
      <c r="K563" t="s">
        <v>66</v>
      </c>
      <c r="L563">
        <v>11539.77</v>
      </c>
      <c r="M563" s="1">
        <v>43494</v>
      </c>
      <c r="N563" t="s">
        <v>24</v>
      </c>
      <c r="O563" t="s">
        <v>25</v>
      </c>
      <c r="Q563" s="1">
        <v>43852</v>
      </c>
    </row>
    <row r="564" spans="1:17" x14ac:dyDescent="0.5">
      <c r="A564" t="s">
        <v>404</v>
      </c>
      <c r="B564" t="s">
        <v>436</v>
      </c>
      <c r="C564" t="s">
        <v>19</v>
      </c>
      <c r="D564" s="1">
        <v>43497</v>
      </c>
      <c r="E564" s="1">
        <v>43861</v>
      </c>
      <c r="F564" t="s">
        <v>37</v>
      </c>
      <c r="G564">
        <v>1</v>
      </c>
      <c r="H564" t="s">
        <v>21</v>
      </c>
      <c r="I564" t="s">
        <v>22</v>
      </c>
      <c r="J564" t="s">
        <v>37</v>
      </c>
      <c r="K564" t="s">
        <v>66</v>
      </c>
      <c r="L564">
        <v>21875</v>
      </c>
      <c r="M564" s="1">
        <v>43497</v>
      </c>
      <c r="N564" t="s">
        <v>24</v>
      </c>
      <c r="O564" t="s">
        <v>25</v>
      </c>
      <c r="Q564" s="1">
        <v>43852</v>
      </c>
    </row>
    <row r="565" spans="1:17" x14ac:dyDescent="0.5">
      <c r="A565" t="s">
        <v>404</v>
      </c>
      <c r="B565">
        <v>9.9000044160300007E+19</v>
      </c>
      <c r="C565" t="s">
        <v>19</v>
      </c>
      <c r="D565" s="1">
        <v>42744</v>
      </c>
      <c r="E565" s="1">
        <v>43473</v>
      </c>
      <c r="F565" t="s">
        <v>202</v>
      </c>
      <c r="G565">
        <v>1</v>
      </c>
      <c r="H565" t="s">
        <v>21</v>
      </c>
      <c r="I565" t="s">
        <v>22</v>
      </c>
      <c r="J565" t="s">
        <v>33</v>
      </c>
      <c r="K565" t="s">
        <v>66</v>
      </c>
      <c r="L565">
        <v>8588.56</v>
      </c>
      <c r="M565" s="1">
        <v>42835</v>
      </c>
      <c r="N565" t="s">
        <v>24</v>
      </c>
      <c r="O565" t="s">
        <v>25</v>
      </c>
      <c r="Q565" s="1">
        <v>43852</v>
      </c>
    </row>
    <row r="566" spans="1:17" x14ac:dyDescent="0.5">
      <c r="A566" t="s">
        <v>404</v>
      </c>
      <c r="B566">
        <v>9.9000044160300007E+19</v>
      </c>
      <c r="C566" t="s">
        <v>19</v>
      </c>
      <c r="D566" s="1">
        <v>42774</v>
      </c>
      <c r="E566" s="1">
        <v>43319</v>
      </c>
      <c r="F566" t="s">
        <v>202</v>
      </c>
      <c r="G566">
        <v>1</v>
      </c>
      <c r="H566" t="s">
        <v>21</v>
      </c>
      <c r="I566" t="s">
        <v>22</v>
      </c>
      <c r="J566" t="s">
        <v>33</v>
      </c>
      <c r="K566" t="s">
        <v>66</v>
      </c>
      <c r="L566">
        <v>3050.6</v>
      </c>
      <c r="M566" s="1">
        <v>42774</v>
      </c>
      <c r="N566" t="s">
        <v>24</v>
      </c>
      <c r="O566" t="s">
        <v>25</v>
      </c>
      <c r="Q566" s="1">
        <v>43852</v>
      </c>
    </row>
    <row r="567" spans="1:17" x14ac:dyDescent="0.5">
      <c r="A567" t="s">
        <v>404</v>
      </c>
      <c r="B567">
        <v>9.9000044160300007E+19</v>
      </c>
      <c r="C567" t="s">
        <v>19</v>
      </c>
      <c r="D567" s="1">
        <v>42774</v>
      </c>
      <c r="E567" s="1">
        <v>43319</v>
      </c>
      <c r="F567" t="s">
        <v>202</v>
      </c>
      <c r="G567">
        <v>1</v>
      </c>
      <c r="H567" t="s">
        <v>21</v>
      </c>
      <c r="I567" t="s">
        <v>22</v>
      </c>
      <c r="J567" t="s">
        <v>33</v>
      </c>
      <c r="K567" t="s">
        <v>66</v>
      </c>
      <c r="L567">
        <v>3050.6</v>
      </c>
      <c r="M567" s="1">
        <v>42954</v>
      </c>
      <c r="N567" t="s">
        <v>24</v>
      </c>
      <c r="O567" t="s">
        <v>25</v>
      </c>
      <c r="Q567" s="1">
        <v>43852</v>
      </c>
    </row>
    <row r="568" spans="1:17" x14ac:dyDescent="0.5">
      <c r="A568" t="s">
        <v>404</v>
      </c>
      <c r="B568">
        <v>9.9000044160300007E+19</v>
      </c>
      <c r="C568" t="s">
        <v>19</v>
      </c>
      <c r="D568" s="1">
        <v>42663</v>
      </c>
      <c r="E568" s="1">
        <v>43209</v>
      </c>
      <c r="F568" t="s">
        <v>202</v>
      </c>
      <c r="G568">
        <v>1</v>
      </c>
      <c r="H568" t="s">
        <v>21</v>
      </c>
      <c r="I568" t="s">
        <v>22</v>
      </c>
      <c r="J568" t="s">
        <v>33</v>
      </c>
      <c r="K568" t="s">
        <v>66</v>
      </c>
      <c r="L568">
        <v>40309.5</v>
      </c>
      <c r="M568" s="1">
        <v>43099</v>
      </c>
      <c r="N568" t="s">
        <v>24</v>
      </c>
      <c r="O568" t="s">
        <v>25</v>
      </c>
      <c r="Q568" s="1">
        <v>43852</v>
      </c>
    </row>
    <row r="569" spans="1:17" x14ac:dyDescent="0.5">
      <c r="A569" t="s">
        <v>404</v>
      </c>
      <c r="B569">
        <v>9.9000044160300007E+19</v>
      </c>
      <c r="C569" t="s">
        <v>19</v>
      </c>
      <c r="D569" s="1">
        <v>42663</v>
      </c>
      <c r="E569" s="1">
        <v>43209</v>
      </c>
      <c r="F569" t="s">
        <v>202</v>
      </c>
      <c r="G569">
        <v>1</v>
      </c>
      <c r="H569" t="s">
        <v>21</v>
      </c>
      <c r="I569" t="s">
        <v>22</v>
      </c>
      <c r="J569" t="s">
        <v>33</v>
      </c>
      <c r="K569" t="s">
        <v>66</v>
      </c>
      <c r="L569">
        <v>40309.68</v>
      </c>
      <c r="M569" s="1">
        <v>42772</v>
      </c>
      <c r="N569" t="s">
        <v>24</v>
      </c>
      <c r="O569" t="s">
        <v>25</v>
      </c>
      <c r="Q569" s="1">
        <v>43852</v>
      </c>
    </row>
    <row r="570" spans="1:17" x14ac:dyDescent="0.5">
      <c r="A570" t="s">
        <v>404</v>
      </c>
      <c r="B570">
        <v>9.9000044160300007E+19</v>
      </c>
      <c r="C570" t="s">
        <v>19</v>
      </c>
      <c r="D570" s="1">
        <v>42663</v>
      </c>
      <c r="E570" s="1">
        <v>43209</v>
      </c>
      <c r="F570" t="s">
        <v>202</v>
      </c>
      <c r="G570">
        <v>1</v>
      </c>
      <c r="H570" t="s">
        <v>21</v>
      </c>
      <c r="I570" t="s">
        <v>22</v>
      </c>
      <c r="J570" t="s">
        <v>33</v>
      </c>
      <c r="K570" t="s">
        <v>66</v>
      </c>
      <c r="L570">
        <v>40309.68</v>
      </c>
      <c r="M570" s="1">
        <v>42880</v>
      </c>
      <c r="N570" t="s">
        <v>24</v>
      </c>
      <c r="O570" t="s">
        <v>25</v>
      </c>
      <c r="Q570" s="1">
        <v>43852</v>
      </c>
    </row>
    <row r="571" spans="1:17" x14ac:dyDescent="0.5">
      <c r="A571" t="s">
        <v>404</v>
      </c>
      <c r="B571">
        <v>9.9000044160300007E+19</v>
      </c>
      <c r="C571" t="s">
        <v>19</v>
      </c>
      <c r="D571" s="1">
        <v>42663</v>
      </c>
      <c r="E571" s="1">
        <v>43209</v>
      </c>
      <c r="F571" t="s">
        <v>202</v>
      </c>
      <c r="G571">
        <v>1</v>
      </c>
      <c r="H571" t="s">
        <v>21</v>
      </c>
      <c r="I571" t="s">
        <v>22</v>
      </c>
      <c r="J571" t="s">
        <v>33</v>
      </c>
      <c r="K571" t="s">
        <v>66</v>
      </c>
      <c r="L571">
        <v>40309.68</v>
      </c>
      <c r="M571" s="1">
        <v>42990</v>
      </c>
      <c r="N571" t="s">
        <v>24</v>
      </c>
      <c r="O571" t="s">
        <v>25</v>
      </c>
      <c r="Q571" s="1">
        <v>43852</v>
      </c>
    </row>
    <row r="572" spans="1:17" x14ac:dyDescent="0.5">
      <c r="A572" t="s">
        <v>404</v>
      </c>
      <c r="B572">
        <v>9.9000044160300007E+19</v>
      </c>
      <c r="C572" t="s">
        <v>19</v>
      </c>
      <c r="D572" s="1">
        <v>42663</v>
      </c>
      <c r="E572" s="1">
        <v>43209</v>
      </c>
      <c r="F572" t="s">
        <v>202</v>
      </c>
      <c r="G572">
        <v>1</v>
      </c>
      <c r="H572" t="s">
        <v>21</v>
      </c>
      <c r="I572" t="s">
        <v>22</v>
      </c>
      <c r="J572" t="s">
        <v>33</v>
      </c>
      <c r="K572" t="s">
        <v>66</v>
      </c>
      <c r="L572">
        <v>50909.599999999999</v>
      </c>
      <c r="M572" s="1">
        <v>42663</v>
      </c>
      <c r="N572" t="s">
        <v>24</v>
      </c>
      <c r="O572" t="s">
        <v>25</v>
      </c>
      <c r="Q572" s="1">
        <v>43852</v>
      </c>
    </row>
    <row r="573" spans="1:17" x14ac:dyDescent="0.5">
      <c r="A573" t="s">
        <v>404</v>
      </c>
      <c r="B573">
        <v>9.9000044160300007E+19</v>
      </c>
      <c r="C573" t="s">
        <v>19</v>
      </c>
      <c r="D573" s="1">
        <v>42731</v>
      </c>
      <c r="E573" s="1">
        <v>43307</v>
      </c>
      <c r="F573" t="s">
        <v>202</v>
      </c>
      <c r="G573">
        <v>1</v>
      </c>
      <c r="H573" t="s">
        <v>21</v>
      </c>
      <c r="I573" t="s">
        <v>22</v>
      </c>
      <c r="J573" t="s">
        <v>33</v>
      </c>
      <c r="K573" t="s">
        <v>66</v>
      </c>
      <c r="L573">
        <v>31079.56</v>
      </c>
      <c r="M573" s="1">
        <v>42821</v>
      </c>
      <c r="N573" t="s">
        <v>24</v>
      </c>
      <c r="O573" t="s">
        <v>25</v>
      </c>
      <c r="Q573" s="1">
        <v>43852</v>
      </c>
    </row>
    <row r="574" spans="1:17" x14ac:dyDescent="0.5">
      <c r="A574" t="s">
        <v>404</v>
      </c>
      <c r="B574">
        <v>9.9000044160300007E+19</v>
      </c>
      <c r="C574" t="s">
        <v>19</v>
      </c>
      <c r="D574" s="1">
        <v>42731</v>
      </c>
      <c r="E574" s="1">
        <v>43307</v>
      </c>
      <c r="F574" t="s">
        <v>202</v>
      </c>
      <c r="G574">
        <v>1</v>
      </c>
      <c r="H574" t="s">
        <v>21</v>
      </c>
      <c r="I574" t="s">
        <v>22</v>
      </c>
      <c r="J574" t="s">
        <v>33</v>
      </c>
      <c r="K574" t="s">
        <v>66</v>
      </c>
      <c r="L574">
        <v>31079.56</v>
      </c>
      <c r="M574" s="1">
        <v>42913</v>
      </c>
      <c r="N574" t="s">
        <v>24</v>
      </c>
      <c r="O574" t="s">
        <v>25</v>
      </c>
      <c r="Q574" s="1">
        <v>43852</v>
      </c>
    </row>
    <row r="575" spans="1:17" x14ac:dyDescent="0.5">
      <c r="A575" t="s">
        <v>404</v>
      </c>
      <c r="B575">
        <v>9.9000044160300007E+19</v>
      </c>
      <c r="C575" t="s">
        <v>19</v>
      </c>
      <c r="D575" s="1">
        <v>42731</v>
      </c>
      <c r="E575" s="1">
        <v>43307</v>
      </c>
      <c r="F575" t="s">
        <v>202</v>
      </c>
      <c r="G575">
        <v>1</v>
      </c>
      <c r="H575" t="s">
        <v>21</v>
      </c>
      <c r="I575" t="s">
        <v>22</v>
      </c>
      <c r="J575" t="s">
        <v>33</v>
      </c>
      <c r="K575" t="s">
        <v>66</v>
      </c>
      <c r="L575">
        <v>31079.56</v>
      </c>
      <c r="M575" s="1">
        <v>43005</v>
      </c>
      <c r="N575" t="s">
        <v>24</v>
      </c>
      <c r="O575" t="s">
        <v>25</v>
      </c>
      <c r="Q575" s="1">
        <v>43852</v>
      </c>
    </row>
    <row r="576" spans="1:17" x14ac:dyDescent="0.5">
      <c r="A576" t="s">
        <v>404</v>
      </c>
      <c r="B576">
        <v>9.9000044160300007E+19</v>
      </c>
      <c r="C576" t="s">
        <v>19</v>
      </c>
      <c r="D576" s="1">
        <v>42731</v>
      </c>
      <c r="E576" s="1">
        <v>43307</v>
      </c>
      <c r="F576" t="s">
        <v>202</v>
      </c>
      <c r="G576">
        <v>1</v>
      </c>
      <c r="H576" t="s">
        <v>21</v>
      </c>
      <c r="I576" t="s">
        <v>22</v>
      </c>
      <c r="J576" t="s">
        <v>33</v>
      </c>
      <c r="K576" t="s">
        <v>66</v>
      </c>
      <c r="L576">
        <v>31088.49</v>
      </c>
      <c r="M576" s="1">
        <v>43096</v>
      </c>
      <c r="N576" t="s">
        <v>24</v>
      </c>
      <c r="O576" t="s">
        <v>25</v>
      </c>
      <c r="Q576" s="1">
        <v>43852</v>
      </c>
    </row>
    <row r="577" spans="1:17" x14ac:dyDescent="0.5">
      <c r="A577" t="s">
        <v>404</v>
      </c>
      <c r="B577">
        <v>9.9000044160300007E+19</v>
      </c>
      <c r="C577" t="s">
        <v>19</v>
      </c>
      <c r="D577" s="1">
        <v>42731</v>
      </c>
      <c r="E577" s="1">
        <v>43307</v>
      </c>
      <c r="F577" t="s">
        <v>202</v>
      </c>
      <c r="G577">
        <v>1</v>
      </c>
      <c r="H577" t="s">
        <v>21</v>
      </c>
      <c r="I577" t="s">
        <v>22</v>
      </c>
      <c r="J577" t="s">
        <v>33</v>
      </c>
      <c r="K577" t="s">
        <v>66</v>
      </c>
      <c r="L577">
        <v>39249.53</v>
      </c>
      <c r="M577" s="1">
        <v>42731</v>
      </c>
      <c r="N577" t="s">
        <v>24</v>
      </c>
      <c r="O577" t="s">
        <v>25</v>
      </c>
      <c r="Q577" s="1">
        <v>43852</v>
      </c>
    </row>
    <row r="578" spans="1:17" x14ac:dyDescent="0.5">
      <c r="A578" t="s">
        <v>404</v>
      </c>
      <c r="B578">
        <v>9.9000044165800002E+19</v>
      </c>
      <c r="C578" t="s">
        <v>19</v>
      </c>
      <c r="D578" s="1">
        <v>42823</v>
      </c>
      <c r="E578" s="1">
        <v>43187</v>
      </c>
      <c r="F578" t="s">
        <v>36</v>
      </c>
      <c r="G578">
        <v>1</v>
      </c>
      <c r="H578" t="s">
        <v>21</v>
      </c>
      <c r="I578" t="s">
        <v>22</v>
      </c>
      <c r="J578" t="s">
        <v>33</v>
      </c>
      <c r="K578" t="s">
        <v>66</v>
      </c>
      <c r="L578">
        <v>8961.75</v>
      </c>
      <c r="M578" s="1">
        <v>42823</v>
      </c>
      <c r="N578" t="s">
        <v>24</v>
      </c>
      <c r="O578" t="s">
        <v>25</v>
      </c>
      <c r="Q578" s="1">
        <v>43852</v>
      </c>
    </row>
    <row r="579" spans="1:17" x14ac:dyDescent="0.5">
      <c r="A579" t="s">
        <v>404</v>
      </c>
      <c r="B579">
        <v>9.9000044170400006E+19</v>
      </c>
      <c r="C579" t="s">
        <v>19</v>
      </c>
      <c r="D579" s="1">
        <v>42954</v>
      </c>
      <c r="E579" s="1">
        <v>43318</v>
      </c>
      <c r="F579" t="s">
        <v>202</v>
      </c>
      <c r="G579">
        <v>1</v>
      </c>
      <c r="H579" t="s">
        <v>21</v>
      </c>
      <c r="I579" t="s">
        <v>22</v>
      </c>
      <c r="J579" t="s">
        <v>33</v>
      </c>
      <c r="K579" t="s">
        <v>66</v>
      </c>
      <c r="L579">
        <v>877.71</v>
      </c>
      <c r="M579" s="1">
        <v>43318</v>
      </c>
      <c r="N579" t="s">
        <v>24</v>
      </c>
      <c r="O579" t="s">
        <v>25</v>
      </c>
      <c r="Q579" s="1">
        <v>43852</v>
      </c>
    </row>
    <row r="580" spans="1:17" x14ac:dyDescent="0.5">
      <c r="A580" t="s">
        <v>404</v>
      </c>
      <c r="B580">
        <v>9.9000044170699997E+19</v>
      </c>
      <c r="C580" t="s">
        <v>31</v>
      </c>
      <c r="D580" s="1">
        <v>42903</v>
      </c>
      <c r="E580" s="1">
        <v>43267</v>
      </c>
      <c r="F580" t="s">
        <v>202</v>
      </c>
      <c r="G580">
        <v>1</v>
      </c>
      <c r="H580" t="s">
        <v>21</v>
      </c>
      <c r="I580" t="s">
        <v>22</v>
      </c>
      <c r="J580" t="s">
        <v>33</v>
      </c>
      <c r="K580" t="s">
        <v>66</v>
      </c>
      <c r="L580">
        <v>8107.49</v>
      </c>
      <c r="M580" s="1">
        <v>43297</v>
      </c>
      <c r="N580" t="s">
        <v>24</v>
      </c>
      <c r="O580" t="s">
        <v>25</v>
      </c>
      <c r="Q580" s="1">
        <v>43852</v>
      </c>
    </row>
    <row r="581" spans="1:17" x14ac:dyDescent="0.5">
      <c r="A581" t="s">
        <v>404</v>
      </c>
      <c r="B581">
        <v>9.9000044170699997E+19</v>
      </c>
      <c r="C581" t="s">
        <v>19</v>
      </c>
      <c r="D581" s="1">
        <v>42922</v>
      </c>
      <c r="E581" s="1">
        <v>43286</v>
      </c>
      <c r="F581" t="s">
        <v>202</v>
      </c>
      <c r="G581">
        <v>1</v>
      </c>
      <c r="H581" t="s">
        <v>21</v>
      </c>
      <c r="I581" t="s">
        <v>22</v>
      </c>
      <c r="J581" t="s">
        <v>33</v>
      </c>
      <c r="K581" t="s">
        <v>66</v>
      </c>
      <c r="L581">
        <v>7398.74</v>
      </c>
      <c r="M581" s="1">
        <v>43286</v>
      </c>
      <c r="N581" t="s">
        <v>24</v>
      </c>
      <c r="O581" t="s">
        <v>25</v>
      </c>
      <c r="Q581" s="1">
        <v>43852</v>
      </c>
    </row>
    <row r="582" spans="1:17" x14ac:dyDescent="0.5">
      <c r="A582" t="s">
        <v>404</v>
      </c>
      <c r="B582">
        <v>9.9000044170699997E+19</v>
      </c>
      <c r="C582" t="s">
        <v>19</v>
      </c>
      <c r="D582" s="1">
        <v>43017</v>
      </c>
      <c r="E582" s="1">
        <v>43381</v>
      </c>
      <c r="F582" t="s">
        <v>202</v>
      </c>
      <c r="G582">
        <v>1</v>
      </c>
      <c r="H582" t="s">
        <v>21</v>
      </c>
      <c r="I582" t="s">
        <v>22</v>
      </c>
      <c r="J582" t="s">
        <v>33</v>
      </c>
      <c r="K582" t="s">
        <v>66</v>
      </c>
      <c r="L582">
        <v>15429.84</v>
      </c>
      <c r="M582" s="1">
        <v>43017</v>
      </c>
      <c r="N582" t="s">
        <v>24</v>
      </c>
      <c r="O582" t="s">
        <v>25</v>
      </c>
      <c r="Q582" s="1">
        <v>43852</v>
      </c>
    </row>
    <row r="583" spans="1:17" x14ac:dyDescent="0.5">
      <c r="A583" t="s">
        <v>404</v>
      </c>
      <c r="B583" t="s">
        <v>437</v>
      </c>
      <c r="C583" t="s">
        <v>31</v>
      </c>
      <c r="D583" s="1">
        <v>43145</v>
      </c>
      <c r="E583" s="1">
        <v>43509</v>
      </c>
      <c r="F583" t="s">
        <v>36</v>
      </c>
      <c r="G583">
        <v>1</v>
      </c>
      <c r="H583" t="s">
        <v>21</v>
      </c>
      <c r="I583" t="s">
        <v>22</v>
      </c>
      <c r="J583" t="s">
        <v>33</v>
      </c>
      <c r="K583" t="s">
        <v>66</v>
      </c>
      <c r="L583">
        <v>3120.25</v>
      </c>
      <c r="M583" s="1">
        <v>43145</v>
      </c>
      <c r="N583" t="s">
        <v>24</v>
      </c>
      <c r="O583" t="s">
        <v>25</v>
      </c>
      <c r="Q583" s="1">
        <v>43852</v>
      </c>
    </row>
    <row r="584" spans="1:17" x14ac:dyDescent="0.5">
      <c r="A584" t="s">
        <v>404</v>
      </c>
      <c r="B584" t="s">
        <v>438</v>
      </c>
      <c r="C584" t="s">
        <v>31</v>
      </c>
      <c r="D584" s="1">
        <v>43210</v>
      </c>
      <c r="E584" s="1">
        <v>43574</v>
      </c>
      <c r="F584" t="s">
        <v>202</v>
      </c>
      <c r="G584">
        <v>1</v>
      </c>
      <c r="H584" t="s">
        <v>21</v>
      </c>
      <c r="I584" t="s">
        <v>22</v>
      </c>
      <c r="J584" t="s">
        <v>33</v>
      </c>
      <c r="K584" t="s">
        <v>66</v>
      </c>
      <c r="L584">
        <v>70725.990000000005</v>
      </c>
      <c r="M584" s="1">
        <v>43210</v>
      </c>
      <c r="N584" t="s">
        <v>24</v>
      </c>
      <c r="O584" t="s">
        <v>252</v>
      </c>
      <c r="P584" t="s">
        <v>420</v>
      </c>
      <c r="Q584" s="1">
        <v>43852</v>
      </c>
    </row>
    <row r="585" spans="1:17" x14ac:dyDescent="0.5">
      <c r="A585" t="s">
        <v>404</v>
      </c>
      <c r="B585" t="s">
        <v>439</v>
      </c>
      <c r="C585" t="s">
        <v>19</v>
      </c>
      <c r="D585" s="1">
        <v>43220</v>
      </c>
      <c r="E585" s="1">
        <v>44134</v>
      </c>
      <c r="F585" t="s">
        <v>202</v>
      </c>
      <c r="G585">
        <v>1</v>
      </c>
      <c r="H585" t="s">
        <v>21</v>
      </c>
      <c r="I585" t="s">
        <v>22</v>
      </c>
      <c r="J585" t="s">
        <v>33</v>
      </c>
      <c r="K585" t="s">
        <v>66</v>
      </c>
      <c r="L585">
        <v>4278.13</v>
      </c>
      <c r="M585" s="1">
        <v>43826</v>
      </c>
      <c r="N585" t="s">
        <v>24</v>
      </c>
      <c r="O585" t="s">
        <v>25</v>
      </c>
      <c r="Q585" s="1">
        <v>43852</v>
      </c>
    </row>
    <row r="586" spans="1:17" x14ac:dyDescent="0.5">
      <c r="A586" t="s">
        <v>404</v>
      </c>
      <c r="B586" t="s">
        <v>439</v>
      </c>
      <c r="C586" t="s">
        <v>19</v>
      </c>
      <c r="D586" s="1">
        <v>43220</v>
      </c>
      <c r="E586" s="1">
        <v>44134</v>
      </c>
      <c r="F586" t="s">
        <v>202</v>
      </c>
      <c r="G586">
        <v>1</v>
      </c>
      <c r="H586" t="s">
        <v>21</v>
      </c>
      <c r="I586" t="s">
        <v>22</v>
      </c>
      <c r="J586" t="s">
        <v>33</v>
      </c>
      <c r="K586" t="s">
        <v>66</v>
      </c>
      <c r="L586">
        <v>4278.13</v>
      </c>
      <c r="M586" s="1">
        <v>43927</v>
      </c>
      <c r="N586" t="s">
        <v>24</v>
      </c>
      <c r="O586" t="s">
        <v>25</v>
      </c>
      <c r="Q586" s="1">
        <v>43852</v>
      </c>
    </row>
    <row r="587" spans="1:17" x14ac:dyDescent="0.5">
      <c r="A587" t="s">
        <v>404</v>
      </c>
      <c r="B587" t="s">
        <v>439</v>
      </c>
      <c r="C587" t="s">
        <v>19</v>
      </c>
      <c r="D587" s="1">
        <v>43220</v>
      </c>
      <c r="E587" s="1">
        <v>44134</v>
      </c>
      <c r="F587" t="s">
        <v>202</v>
      </c>
      <c r="G587">
        <v>1</v>
      </c>
      <c r="H587" t="s">
        <v>21</v>
      </c>
      <c r="I587" t="s">
        <v>22</v>
      </c>
      <c r="J587" t="s">
        <v>33</v>
      </c>
      <c r="K587" t="s">
        <v>66</v>
      </c>
      <c r="L587">
        <v>4278.25</v>
      </c>
      <c r="M587" s="1">
        <v>44028</v>
      </c>
      <c r="N587" t="s">
        <v>24</v>
      </c>
      <c r="O587" t="s">
        <v>25</v>
      </c>
      <c r="Q587" s="1">
        <v>43852</v>
      </c>
    </row>
    <row r="588" spans="1:17" x14ac:dyDescent="0.5">
      <c r="A588" t="s">
        <v>404</v>
      </c>
      <c r="B588" t="s">
        <v>439</v>
      </c>
      <c r="C588" t="s">
        <v>19</v>
      </c>
      <c r="D588" s="1">
        <v>43220</v>
      </c>
      <c r="E588" s="1">
        <v>44134</v>
      </c>
      <c r="F588" t="s">
        <v>202</v>
      </c>
      <c r="G588">
        <v>1</v>
      </c>
      <c r="H588" t="s">
        <v>21</v>
      </c>
      <c r="I588" t="s">
        <v>22</v>
      </c>
      <c r="J588" t="s">
        <v>33</v>
      </c>
      <c r="K588" t="s">
        <v>66</v>
      </c>
      <c r="L588">
        <v>4705.88</v>
      </c>
      <c r="M588" s="1">
        <v>43321</v>
      </c>
      <c r="N588" t="s">
        <v>24</v>
      </c>
      <c r="O588" t="s">
        <v>25</v>
      </c>
      <c r="Q588" s="1">
        <v>43852</v>
      </c>
    </row>
    <row r="589" spans="1:17" x14ac:dyDescent="0.5">
      <c r="A589" t="s">
        <v>404</v>
      </c>
      <c r="B589" t="s">
        <v>439</v>
      </c>
      <c r="C589" t="s">
        <v>19</v>
      </c>
      <c r="D589" s="1">
        <v>43220</v>
      </c>
      <c r="E589" s="1">
        <v>44134</v>
      </c>
      <c r="F589" t="s">
        <v>202</v>
      </c>
      <c r="G589">
        <v>1</v>
      </c>
      <c r="H589" t="s">
        <v>21</v>
      </c>
      <c r="I589" t="s">
        <v>22</v>
      </c>
      <c r="J589" t="s">
        <v>33</v>
      </c>
      <c r="K589" t="s">
        <v>66</v>
      </c>
      <c r="L589">
        <v>4705.88</v>
      </c>
      <c r="M589" s="1">
        <v>43422</v>
      </c>
      <c r="N589" t="s">
        <v>24</v>
      </c>
      <c r="O589" t="s">
        <v>25</v>
      </c>
      <c r="Q589" s="1">
        <v>43852</v>
      </c>
    </row>
    <row r="590" spans="1:17" x14ac:dyDescent="0.5">
      <c r="A590" t="s">
        <v>404</v>
      </c>
      <c r="B590" t="s">
        <v>439</v>
      </c>
      <c r="C590" t="s">
        <v>19</v>
      </c>
      <c r="D590" s="1">
        <v>43220</v>
      </c>
      <c r="E590" s="1">
        <v>44134</v>
      </c>
      <c r="F590" t="s">
        <v>202</v>
      </c>
      <c r="G590">
        <v>1</v>
      </c>
      <c r="H590" t="s">
        <v>21</v>
      </c>
      <c r="I590" t="s">
        <v>22</v>
      </c>
      <c r="J590" t="s">
        <v>33</v>
      </c>
      <c r="K590" t="s">
        <v>66</v>
      </c>
      <c r="L590">
        <v>4705.88</v>
      </c>
      <c r="M590" s="1">
        <v>43523</v>
      </c>
      <c r="N590" t="s">
        <v>24</v>
      </c>
      <c r="O590" t="s">
        <v>25</v>
      </c>
      <c r="Q590" s="1">
        <v>43852</v>
      </c>
    </row>
    <row r="591" spans="1:17" x14ac:dyDescent="0.5">
      <c r="A591" t="s">
        <v>404</v>
      </c>
      <c r="B591" t="s">
        <v>439</v>
      </c>
      <c r="C591" t="s">
        <v>19</v>
      </c>
      <c r="D591" s="1">
        <v>43220</v>
      </c>
      <c r="E591" s="1">
        <v>44134</v>
      </c>
      <c r="F591" t="s">
        <v>202</v>
      </c>
      <c r="G591">
        <v>1</v>
      </c>
      <c r="H591" t="s">
        <v>21</v>
      </c>
      <c r="I591" t="s">
        <v>22</v>
      </c>
      <c r="J591" t="s">
        <v>33</v>
      </c>
      <c r="K591" t="s">
        <v>66</v>
      </c>
      <c r="L591">
        <v>4705.88</v>
      </c>
      <c r="M591" s="1">
        <v>43624</v>
      </c>
      <c r="N591" t="s">
        <v>24</v>
      </c>
      <c r="O591" t="s">
        <v>25</v>
      </c>
      <c r="Q591" s="1">
        <v>43852</v>
      </c>
    </row>
    <row r="592" spans="1:17" x14ac:dyDescent="0.5">
      <c r="A592" t="s">
        <v>404</v>
      </c>
      <c r="B592" t="s">
        <v>439</v>
      </c>
      <c r="C592" t="s">
        <v>19</v>
      </c>
      <c r="D592" s="1">
        <v>43220</v>
      </c>
      <c r="E592" s="1">
        <v>44134</v>
      </c>
      <c r="F592" t="s">
        <v>202</v>
      </c>
      <c r="G592">
        <v>1</v>
      </c>
      <c r="H592" t="s">
        <v>21</v>
      </c>
      <c r="I592" t="s">
        <v>22</v>
      </c>
      <c r="J592" t="s">
        <v>33</v>
      </c>
      <c r="K592" t="s">
        <v>66</v>
      </c>
      <c r="L592">
        <v>4705.88</v>
      </c>
      <c r="M592" s="1">
        <v>43725</v>
      </c>
      <c r="N592" t="s">
        <v>24</v>
      </c>
      <c r="O592" t="s">
        <v>25</v>
      </c>
      <c r="Q592" s="1">
        <v>43852</v>
      </c>
    </row>
    <row r="593" spans="1:17" x14ac:dyDescent="0.5">
      <c r="A593" t="s">
        <v>404</v>
      </c>
      <c r="B593" t="s">
        <v>439</v>
      </c>
      <c r="C593" t="s">
        <v>19</v>
      </c>
      <c r="D593" s="1">
        <v>43220</v>
      </c>
      <c r="E593" s="1">
        <v>44134</v>
      </c>
      <c r="F593" t="s">
        <v>202</v>
      </c>
      <c r="G593">
        <v>1</v>
      </c>
      <c r="H593" t="s">
        <v>21</v>
      </c>
      <c r="I593" t="s">
        <v>22</v>
      </c>
      <c r="J593" t="s">
        <v>33</v>
      </c>
      <c r="K593" t="s">
        <v>66</v>
      </c>
      <c r="L593">
        <v>6417.13</v>
      </c>
      <c r="M593" s="1">
        <v>43220</v>
      </c>
      <c r="N593" t="s">
        <v>24</v>
      </c>
      <c r="O593" t="s">
        <v>25</v>
      </c>
      <c r="Q593" s="1">
        <v>43852</v>
      </c>
    </row>
    <row r="594" spans="1:17" x14ac:dyDescent="0.5">
      <c r="A594" t="s">
        <v>404</v>
      </c>
      <c r="B594" t="s">
        <v>440</v>
      </c>
      <c r="C594" t="s">
        <v>31</v>
      </c>
      <c r="D594" s="1">
        <v>43278</v>
      </c>
      <c r="E594" s="1">
        <v>43642</v>
      </c>
      <c r="F594" t="s">
        <v>202</v>
      </c>
      <c r="G594">
        <v>1</v>
      </c>
      <c r="H594" t="s">
        <v>21</v>
      </c>
      <c r="I594" t="s">
        <v>22</v>
      </c>
      <c r="J594" t="s">
        <v>33</v>
      </c>
      <c r="K594" t="s">
        <v>66</v>
      </c>
      <c r="L594">
        <v>81783.89</v>
      </c>
      <c r="M594" s="1">
        <v>43278</v>
      </c>
      <c r="N594" t="s">
        <v>24</v>
      </c>
      <c r="O594" t="s">
        <v>252</v>
      </c>
      <c r="P594" t="s">
        <v>253</v>
      </c>
      <c r="Q594" s="1">
        <v>43852</v>
      </c>
    </row>
    <row r="595" spans="1:17" x14ac:dyDescent="0.5">
      <c r="A595" t="s">
        <v>404</v>
      </c>
      <c r="B595" t="s">
        <v>441</v>
      </c>
      <c r="C595" t="s">
        <v>19</v>
      </c>
      <c r="D595" s="1">
        <v>43339</v>
      </c>
      <c r="E595" s="1">
        <v>44069</v>
      </c>
      <c r="F595" t="s">
        <v>202</v>
      </c>
      <c r="G595">
        <v>1</v>
      </c>
      <c r="H595" t="s">
        <v>21</v>
      </c>
      <c r="I595" t="s">
        <v>22</v>
      </c>
      <c r="J595" t="s">
        <v>33</v>
      </c>
      <c r="K595" t="s">
        <v>66</v>
      </c>
      <c r="L595">
        <v>70935.55</v>
      </c>
      <c r="M595" s="1">
        <v>43888</v>
      </c>
      <c r="N595" t="s">
        <v>24</v>
      </c>
      <c r="O595" t="s">
        <v>25</v>
      </c>
      <c r="Q595" s="1">
        <v>43852</v>
      </c>
    </row>
    <row r="596" spans="1:17" x14ac:dyDescent="0.5">
      <c r="A596" t="s">
        <v>404</v>
      </c>
      <c r="B596" t="s">
        <v>441</v>
      </c>
      <c r="C596" t="s">
        <v>19</v>
      </c>
      <c r="D596" s="1">
        <v>43339</v>
      </c>
      <c r="E596" s="1">
        <v>44069</v>
      </c>
      <c r="F596" t="s">
        <v>202</v>
      </c>
      <c r="G596">
        <v>1</v>
      </c>
      <c r="H596" t="s">
        <v>21</v>
      </c>
      <c r="I596" t="s">
        <v>22</v>
      </c>
      <c r="J596" t="s">
        <v>33</v>
      </c>
      <c r="K596" t="s">
        <v>66</v>
      </c>
      <c r="L596">
        <v>90281.89</v>
      </c>
      <c r="M596" s="1">
        <v>43431</v>
      </c>
      <c r="N596" t="s">
        <v>24</v>
      </c>
      <c r="O596" t="s">
        <v>25</v>
      </c>
      <c r="Q596" s="1">
        <v>43852</v>
      </c>
    </row>
    <row r="597" spans="1:17" x14ac:dyDescent="0.5">
      <c r="A597" t="s">
        <v>404</v>
      </c>
      <c r="B597" t="s">
        <v>441</v>
      </c>
      <c r="C597" t="s">
        <v>19</v>
      </c>
      <c r="D597" s="1">
        <v>43339</v>
      </c>
      <c r="E597" s="1">
        <v>44069</v>
      </c>
      <c r="F597" t="s">
        <v>202</v>
      </c>
      <c r="G597">
        <v>1</v>
      </c>
      <c r="H597" t="s">
        <v>21</v>
      </c>
      <c r="I597" t="s">
        <v>22</v>
      </c>
      <c r="J597" t="s">
        <v>33</v>
      </c>
      <c r="K597" t="s">
        <v>66</v>
      </c>
      <c r="L597">
        <v>90281.89</v>
      </c>
      <c r="M597" s="1">
        <v>43523</v>
      </c>
      <c r="N597" t="s">
        <v>24</v>
      </c>
      <c r="O597" t="s">
        <v>25</v>
      </c>
      <c r="Q597" s="1">
        <v>43852</v>
      </c>
    </row>
    <row r="598" spans="1:17" x14ac:dyDescent="0.5">
      <c r="A598" t="s">
        <v>404</v>
      </c>
      <c r="B598" t="s">
        <v>441</v>
      </c>
      <c r="C598" t="s">
        <v>19</v>
      </c>
      <c r="D598" s="1">
        <v>43339</v>
      </c>
      <c r="E598" s="1">
        <v>44069</v>
      </c>
      <c r="F598" t="s">
        <v>202</v>
      </c>
      <c r="G598">
        <v>1</v>
      </c>
      <c r="H598" t="s">
        <v>21</v>
      </c>
      <c r="I598" t="s">
        <v>22</v>
      </c>
      <c r="J598" t="s">
        <v>33</v>
      </c>
      <c r="K598" t="s">
        <v>66</v>
      </c>
      <c r="L598">
        <v>90281.89</v>
      </c>
      <c r="M598" s="1">
        <v>43612</v>
      </c>
      <c r="N598" t="s">
        <v>24</v>
      </c>
      <c r="O598" t="s">
        <v>25</v>
      </c>
      <c r="Q598" s="1">
        <v>43852</v>
      </c>
    </row>
    <row r="599" spans="1:17" x14ac:dyDescent="0.5">
      <c r="A599" t="s">
        <v>404</v>
      </c>
      <c r="B599" t="s">
        <v>441</v>
      </c>
      <c r="C599" t="s">
        <v>19</v>
      </c>
      <c r="D599" s="1">
        <v>43339</v>
      </c>
      <c r="E599" s="1">
        <v>44069</v>
      </c>
      <c r="F599" t="s">
        <v>202</v>
      </c>
      <c r="G599">
        <v>1</v>
      </c>
      <c r="H599" t="s">
        <v>21</v>
      </c>
      <c r="I599" t="s">
        <v>22</v>
      </c>
      <c r="J599" t="s">
        <v>33</v>
      </c>
      <c r="K599" t="s">
        <v>66</v>
      </c>
      <c r="L599">
        <v>90281.89</v>
      </c>
      <c r="M599" s="1">
        <v>43704</v>
      </c>
      <c r="N599" t="s">
        <v>24</v>
      </c>
      <c r="O599" t="s">
        <v>25</v>
      </c>
      <c r="Q599" s="1">
        <v>43852</v>
      </c>
    </row>
    <row r="600" spans="1:17" x14ac:dyDescent="0.5">
      <c r="A600" t="s">
        <v>404</v>
      </c>
      <c r="B600" t="s">
        <v>441</v>
      </c>
      <c r="C600" t="s">
        <v>19</v>
      </c>
      <c r="D600" s="1">
        <v>43339</v>
      </c>
      <c r="E600" s="1">
        <v>44069</v>
      </c>
      <c r="F600" t="s">
        <v>202</v>
      </c>
      <c r="G600">
        <v>1</v>
      </c>
      <c r="H600" t="s">
        <v>21</v>
      </c>
      <c r="I600" t="s">
        <v>22</v>
      </c>
      <c r="J600" t="s">
        <v>33</v>
      </c>
      <c r="K600" t="s">
        <v>66</v>
      </c>
      <c r="L600">
        <v>90281.89</v>
      </c>
      <c r="M600" s="1">
        <v>43796</v>
      </c>
      <c r="N600" t="s">
        <v>24</v>
      </c>
      <c r="O600" t="s">
        <v>25</v>
      </c>
      <c r="Q600" s="1">
        <v>43852</v>
      </c>
    </row>
    <row r="601" spans="1:17" x14ac:dyDescent="0.5">
      <c r="A601" t="s">
        <v>404</v>
      </c>
      <c r="B601" t="s">
        <v>441</v>
      </c>
      <c r="C601" t="s">
        <v>19</v>
      </c>
      <c r="D601" s="1">
        <v>43339</v>
      </c>
      <c r="E601" s="1">
        <v>44069</v>
      </c>
      <c r="F601" t="s">
        <v>202</v>
      </c>
      <c r="G601">
        <v>1</v>
      </c>
      <c r="H601" t="s">
        <v>21</v>
      </c>
      <c r="I601" t="s">
        <v>22</v>
      </c>
      <c r="J601" t="s">
        <v>33</v>
      </c>
      <c r="K601" t="s">
        <v>66</v>
      </c>
      <c r="L601">
        <v>122525.38</v>
      </c>
      <c r="M601" s="1">
        <v>43339</v>
      </c>
      <c r="N601" t="s">
        <v>24</v>
      </c>
      <c r="O601" t="s">
        <v>25</v>
      </c>
      <c r="Q601" s="1">
        <v>43852</v>
      </c>
    </row>
    <row r="602" spans="1:17" x14ac:dyDescent="0.5">
      <c r="A602" t="s">
        <v>404</v>
      </c>
      <c r="B602" t="s">
        <v>441</v>
      </c>
      <c r="C602" t="s">
        <v>19</v>
      </c>
      <c r="D602" s="1">
        <v>43339</v>
      </c>
      <c r="E602" s="1">
        <v>44069</v>
      </c>
      <c r="F602" t="s">
        <v>202</v>
      </c>
      <c r="G602">
        <v>1</v>
      </c>
      <c r="H602" t="s">
        <v>21</v>
      </c>
      <c r="I602" t="s">
        <v>22</v>
      </c>
      <c r="J602" t="s">
        <v>33</v>
      </c>
      <c r="K602" t="s">
        <v>66</v>
      </c>
      <c r="L602">
        <v>0</v>
      </c>
      <c r="M602" s="1">
        <v>43888</v>
      </c>
      <c r="N602" t="s">
        <v>24</v>
      </c>
      <c r="O602" t="s">
        <v>25</v>
      </c>
      <c r="Q602" s="1">
        <v>43852</v>
      </c>
    </row>
    <row r="603" spans="1:17" x14ac:dyDescent="0.5">
      <c r="A603" t="s">
        <v>404</v>
      </c>
      <c r="B603" t="s">
        <v>441</v>
      </c>
      <c r="C603" t="s">
        <v>19</v>
      </c>
      <c r="D603" s="1">
        <v>43339</v>
      </c>
      <c r="E603" s="1">
        <v>44069</v>
      </c>
      <c r="F603" t="s">
        <v>202</v>
      </c>
      <c r="G603">
        <v>1</v>
      </c>
      <c r="H603" t="s">
        <v>21</v>
      </c>
      <c r="I603" t="s">
        <v>22</v>
      </c>
      <c r="J603" t="s">
        <v>33</v>
      </c>
      <c r="K603" t="s">
        <v>66</v>
      </c>
      <c r="L603">
        <v>0</v>
      </c>
      <c r="M603" s="1">
        <v>43431</v>
      </c>
      <c r="N603" t="s">
        <v>24</v>
      </c>
      <c r="O603" t="s">
        <v>25</v>
      </c>
      <c r="Q603" s="1">
        <v>43852</v>
      </c>
    </row>
    <row r="604" spans="1:17" x14ac:dyDescent="0.5">
      <c r="A604" t="s">
        <v>404</v>
      </c>
      <c r="B604" t="s">
        <v>441</v>
      </c>
      <c r="C604" t="s">
        <v>19</v>
      </c>
      <c r="D604" s="1">
        <v>43339</v>
      </c>
      <c r="E604" s="1">
        <v>44069</v>
      </c>
      <c r="F604" t="s">
        <v>202</v>
      </c>
      <c r="G604">
        <v>1</v>
      </c>
      <c r="H604" t="s">
        <v>21</v>
      </c>
      <c r="I604" t="s">
        <v>22</v>
      </c>
      <c r="J604" t="s">
        <v>33</v>
      </c>
      <c r="K604" t="s">
        <v>66</v>
      </c>
      <c r="L604">
        <v>0</v>
      </c>
      <c r="M604" s="1">
        <v>43523</v>
      </c>
      <c r="N604" t="s">
        <v>24</v>
      </c>
      <c r="O604" t="s">
        <v>25</v>
      </c>
      <c r="Q604" s="1">
        <v>43852</v>
      </c>
    </row>
    <row r="605" spans="1:17" x14ac:dyDescent="0.5">
      <c r="A605" t="s">
        <v>404</v>
      </c>
      <c r="B605" t="s">
        <v>441</v>
      </c>
      <c r="C605" t="s">
        <v>19</v>
      </c>
      <c r="D605" s="1">
        <v>43339</v>
      </c>
      <c r="E605" s="1">
        <v>44069</v>
      </c>
      <c r="F605" t="s">
        <v>202</v>
      </c>
      <c r="G605">
        <v>1</v>
      </c>
      <c r="H605" t="s">
        <v>21</v>
      </c>
      <c r="I605" t="s">
        <v>22</v>
      </c>
      <c r="J605" t="s">
        <v>33</v>
      </c>
      <c r="K605" t="s">
        <v>66</v>
      </c>
      <c r="L605">
        <v>0</v>
      </c>
      <c r="M605" s="1">
        <v>43612</v>
      </c>
      <c r="N605" t="s">
        <v>24</v>
      </c>
      <c r="O605" t="s">
        <v>25</v>
      </c>
      <c r="Q605" s="1">
        <v>43852</v>
      </c>
    </row>
    <row r="606" spans="1:17" x14ac:dyDescent="0.5">
      <c r="A606" t="s">
        <v>404</v>
      </c>
      <c r="B606" t="s">
        <v>441</v>
      </c>
      <c r="C606" t="s">
        <v>19</v>
      </c>
      <c r="D606" s="1">
        <v>43339</v>
      </c>
      <c r="E606" s="1">
        <v>44069</v>
      </c>
      <c r="F606" t="s">
        <v>202</v>
      </c>
      <c r="G606">
        <v>1</v>
      </c>
      <c r="H606" t="s">
        <v>21</v>
      </c>
      <c r="I606" t="s">
        <v>22</v>
      </c>
      <c r="J606" t="s">
        <v>33</v>
      </c>
      <c r="K606" t="s">
        <v>66</v>
      </c>
      <c r="L606">
        <v>0</v>
      </c>
      <c r="M606" s="1">
        <v>43704</v>
      </c>
      <c r="N606" t="s">
        <v>24</v>
      </c>
      <c r="O606" t="s">
        <v>25</v>
      </c>
      <c r="Q606" s="1">
        <v>43852</v>
      </c>
    </row>
    <row r="607" spans="1:17" x14ac:dyDescent="0.5">
      <c r="A607" t="s">
        <v>404</v>
      </c>
      <c r="B607" t="s">
        <v>441</v>
      </c>
      <c r="C607" t="s">
        <v>19</v>
      </c>
      <c r="D607" s="1">
        <v>43339</v>
      </c>
      <c r="E607" s="1">
        <v>44069</v>
      </c>
      <c r="F607" t="s">
        <v>202</v>
      </c>
      <c r="G607">
        <v>1</v>
      </c>
      <c r="H607" t="s">
        <v>21</v>
      </c>
      <c r="I607" t="s">
        <v>22</v>
      </c>
      <c r="J607" t="s">
        <v>33</v>
      </c>
      <c r="K607" t="s">
        <v>66</v>
      </c>
      <c r="L607">
        <v>0</v>
      </c>
      <c r="M607" s="1">
        <v>43796</v>
      </c>
      <c r="N607" t="s">
        <v>24</v>
      </c>
      <c r="O607" t="s">
        <v>25</v>
      </c>
      <c r="Q607" s="1">
        <v>43852</v>
      </c>
    </row>
    <row r="608" spans="1:17" x14ac:dyDescent="0.5">
      <c r="A608" t="s">
        <v>404</v>
      </c>
      <c r="B608" t="s">
        <v>441</v>
      </c>
      <c r="C608" t="s">
        <v>19</v>
      </c>
      <c r="D608" s="1">
        <v>43339</v>
      </c>
      <c r="E608" s="1">
        <v>44069</v>
      </c>
      <c r="F608" t="s">
        <v>202</v>
      </c>
      <c r="G608">
        <v>1</v>
      </c>
      <c r="H608" t="s">
        <v>21</v>
      </c>
      <c r="I608" t="s">
        <v>22</v>
      </c>
      <c r="J608" t="s">
        <v>33</v>
      </c>
      <c r="K608" t="s">
        <v>66</v>
      </c>
      <c r="L608">
        <v>0</v>
      </c>
      <c r="M608" s="1">
        <v>43339</v>
      </c>
      <c r="N608" t="s">
        <v>24</v>
      </c>
      <c r="O608" t="s">
        <v>25</v>
      </c>
      <c r="Q608" s="1">
        <v>43852</v>
      </c>
    </row>
    <row r="609" spans="1:17" x14ac:dyDescent="0.5">
      <c r="A609" t="s">
        <v>404</v>
      </c>
      <c r="B609" t="s">
        <v>442</v>
      </c>
      <c r="C609" t="s">
        <v>19</v>
      </c>
      <c r="D609" s="1">
        <v>43326</v>
      </c>
      <c r="E609" s="1">
        <v>44240</v>
      </c>
      <c r="F609" t="s">
        <v>202</v>
      </c>
      <c r="G609">
        <v>1</v>
      </c>
      <c r="H609" t="s">
        <v>21</v>
      </c>
      <c r="I609" t="s">
        <v>22</v>
      </c>
      <c r="J609" t="s">
        <v>33</v>
      </c>
      <c r="K609" t="s">
        <v>66</v>
      </c>
      <c r="L609">
        <v>62399.23</v>
      </c>
      <c r="M609" s="1">
        <v>44057</v>
      </c>
      <c r="N609" t="s">
        <v>24</v>
      </c>
      <c r="O609" t="s">
        <v>25</v>
      </c>
      <c r="Q609" s="1">
        <v>43852</v>
      </c>
    </row>
    <row r="610" spans="1:17" x14ac:dyDescent="0.5">
      <c r="A610" t="s">
        <v>404</v>
      </c>
      <c r="B610" t="s">
        <v>442</v>
      </c>
      <c r="C610" t="s">
        <v>19</v>
      </c>
      <c r="D610" s="1">
        <v>43326</v>
      </c>
      <c r="E610" s="1">
        <v>44240</v>
      </c>
      <c r="F610" t="s">
        <v>202</v>
      </c>
      <c r="G610">
        <v>1</v>
      </c>
      <c r="H610" t="s">
        <v>21</v>
      </c>
      <c r="I610" t="s">
        <v>22</v>
      </c>
      <c r="J610" t="s">
        <v>33</v>
      </c>
      <c r="K610" t="s">
        <v>66</v>
      </c>
      <c r="L610">
        <v>62399.4</v>
      </c>
      <c r="M610" s="1">
        <v>43875</v>
      </c>
      <c r="N610" t="s">
        <v>24</v>
      </c>
      <c r="O610" t="s">
        <v>25</v>
      </c>
      <c r="Q610" s="1">
        <v>43852</v>
      </c>
    </row>
    <row r="611" spans="1:17" x14ac:dyDescent="0.5">
      <c r="A611" t="s">
        <v>404</v>
      </c>
      <c r="B611" t="s">
        <v>442</v>
      </c>
      <c r="C611" t="s">
        <v>19</v>
      </c>
      <c r="D611" s="1">
        <v>43326</v>
      </c>
      <c r="E611" s="1">
        <v>44240</v>
      </c>
      <c r="F611" t="s">
        <v>202</v>
      </c>
      <c r="G611">
        <v>1</v>
      </c>
      <c r="H611" t="s">
        <v>21</v>
      </c>
      <c r="I611" t="s">
        <v>22</v>
      </c>
      <c r="J611" t="s">
        <v>33</v>
      </c>
      <c r="K611" t="s">
        <v>66</v>
      </c>
      <c r="L611">
        <v>62399.4</v>
      </c>
      <c r="M611" s="1">
        <v>43965</v>
      </c>
      <c r="N611" t="s">
        <v>24</v>
      </c>
      <c r="O611" t="s">
        <v>25</v>
      </c>
      <c r="Q611" s="1">
        <v>43852</v>
      </c>
    </row>
    <row r="612" spans="1:17" x14ac:dyDescent="0.5">
      <c r="A612" t="s">
        <v>404</v>
      </c>
      <c r="B612" t="s">
        <v>442</v>
      </c>
      <c r="C612" t="s">
        <v>19</v>
      </c>
      <c r="D612" s="1">
        <v>43326</v>
      </c>
      <c r="E612" s="1">
        <v>44240</v>
      </c>
      <c r="F612" t="s">
        <v>202</v>
      </c>
      <c r="G612">
        <v>1</v>
      </c>
      <c r="H612" t="s">
        <v>21</v>
      </c>
      <c r="I612" t="s">
        <v>22</v>
      </c>
      <c r="J612" t="s">
        <v>33</v>
      </c>
      <c r="K612" t="s">
        <v>66</v>
      </c>
      <c r="L612">
        <v>62399.4</v>
      </c>
      <c r="M612" s="1">
        <v>43783</v>
      </c>
      <c r="N612" t="s">
        <v>24</v>
      </c>
      <c r="O612" t="s">
        <v>25</v>
      </c>
      <c r="Q612" s="1">
        <v>43852</v>
      </c>
    </row>
    <row r="613" spans="1:17" x14ac:dyDescent="0.5">
      <c r="A613" t="s">
        <v>404</v>
      </c>
      <c r="B613" t="s">
        <v>442</v>
      </c>
      <c r="C613" t="s">
        <v>19</v>
      </c>
      <c r="D613" s="1">
        <v>43326</v>
      </c>
      <c r="E613" s="1">
        <v>44240</v>
      </c>
      <c r="F613" t="s">
        <v>202</v>
      </c>
      <c r="G613">
        <v>1</v>
      </c>
      <c r="H613" t="s">
        <v>21</v>
      </c>
      <c r="I613" t="s">
        <v>22</v>
      </c>
      <c r="J613" t="s">
        <v>33</v>
      </c>
      <c r="K613" t="s">
        <v>66</v>
      </c>
      <c r="L613">
        <v>68639.38</v>
      </c>
      <c r="M613" s="1">
        <v>43418</v>
      </c>
      <c r="N613" t="s">
        <v>24</v>
      </c>
      <c r="O613" t="s">
        <v>25</v>
      </c>
      <c r="Q613" s="1">
        <v>43852</v>
      </c>
    </row>
    <row r="614" spans="1:17" x14ac:dyDescent="0.5">
      <c r="A614" t="s">
        <v>404</v>
      </c>
      <c r="B614" t="s">
        <v>442</v>
      </c>
      <c r="C614" t="s">
        <v>19</v>
      </c>
      <c r="D614" s="1">
        <v>43326</v>
      </c>
      <c r="E614" s="1">
        <v>44240</v>
      </c>
      <c r="F614" t="s">
        <v>202</v>
      </c>
      <c r="G614">
        <v>1</v>
      </c>
      <c r="H614" t="s">
        <v>21</v>
      </c>
      <c r="I614" t="s">
        <v>22</v>
      </c>
      <c r="J614" t="s">
        <v>33</v>
      </c>
      <c r="K614" t="s">
        <v>66</v>
      </c>
      <c r="L614">
        <v>68639.38</v>
      </c>
      <c r="M614" s="1">
        <v>43510</v>
      </c>
      <c r="N614" t="s">
        <v>24</v>
      </c>
      <c r="O614" t="s">
        <v>25</v>
      </c>
      <c r="Q614" s="1">
        <v>43852</v>
      </c>
    </row>
    <row r="615" spans="1:17" x14ac:dyDescent="0.5">
      <c r="A615" t="s">
        <v>404</v>
      </c>
      <c r="B615" t="s">
        <v>442</v>
      </c>
      <c r="C615" t="s">
        <v>19</v>
      </c>
      <c r="D615" s="1">
        <v>43326</v>
      </c>
      <c r="E615" s="1">
        <v>44240</v>
      </c>
      <c r="F615" t="s">
        <v>202</v>
      </c>
      <c r="G615">
        <v>1</v>
      </c>
      <c r="H615" t="s">
        <v>21</v>
      </c>
      <c r="I615" t="s">
        <v>22</v>
      </c>
      <c r="J615" t="s">
        <v>33</v>
      </c>
      <c r="K615" t="s">
        <v>66</v>
      </c>
      <c r="L615">
        <v>68639.38</v>
      </c>
      <c r="M615" s="1">
        <v>43599</v>
      </c>
      <c r="N615" t="s">
        <v>24</v>
      </c>
      <c r="O615" t="s">
        <v>25</v>
      </c>
      <c r="Q615" s="1">
        <v>43852</v>
      </c>
    </row>
    <row r="616" spans="1:17" x14ac:dyDescent="0.5">
      <c r="A616" t="s">
        <v>404</v>
      </c>
      <c r="B616" t="s">
        <v>442</v>
      </c>
      <c r="C616" t="s">
        <v>19</v>
      </c>
      <c r="D616" s="1">
        <v>43326</v>
      </c>
      <c r="E616" s="1">
        <v>44240</v>
      </c>
      <c r="F616" t="s">
        <v>202</v>
      </c>
      <c r="G616">
        <v>1</v>
      </c>
      <c r="H616" t="s">
        <v>21</v>
      </c>
      <c r="I616" t="s">
        <v>22</v>
      </c>
      <c r="J616" t="s">
        <v>33</v>
      </c>
      <c r="K616" t="s">
        <v>66</v>
      </c>
      <c r="L616">
        <v>68639.38</v>
      </c>
      <c r="M616" s="1">
        <v>43691</v>
      </c>
      <c r="N616" t="s">
        <v>24</v>
      </c>
      <c r="O616" t="s">
        <v>25</v>
      </c>
      <c r="Q616" s="1">
        <v>43852</v>
      </c>
    </row>
    <row r="617" spans="1:17" x14ac:dyDescent="0.5">
      <c r="A617" t="s">
        <v>404</v>
      </c>
      <c r="B617" t="s">
        <v>442</v>
      </c>
      <c r="C617" t="s">
        <v>19</v>
      </c>
      <c r="D617" s="1">
        <v>43326</v>
      </c>
      <c r="E617" s="1">
        <v>44240</v>
      </c>
      <c r="F617" t="s">
        <v>202</v>
      </c>
      <c r="G617">
        <v>1</v>
      </c>
      <c r="H617" t="s">
        <v>21</v>
      </c>
      <c r="I617" t="s">
        <v>22</v>
      </c>
      <c r="J617" t="s">
        <v>33</v>
      </c>
      <c r="K617" t="s">
        <v>66</v>
      </c>
      <c r="L617">
        <v>99839.08</v>
      </c>
      <c r="M617" s="1">
        <v>43326</v>
      </c>
      <c r="N617" t="s">
        <v>24</v>
      </c>
      <c r="O617" t="s">
        <v>25</v>
      </c>
      <c r="Q617" s="1">
        <v>43852</v>
      </c>
    </row>
    <row r="618" spans="1:17" x14ac:dyDescent="0.5">
      <c r="A618" t="s">
        <v>404</v>
      </c>
      <c r="B618" t="s">
        <v>442</v>
      </c>
      <c r="C618" t="s">
        <v>19</v>
      </c>
      <c r="D618" s="1">
        <v>43326</v>
      </c>
      <c r="E618" s="1">
        <v>44240</v>
      </c>
      <c r="F618" t="s">
        <v>202</v>
      </c>
      <c r="G618">
        <v>1</v>
      </c>
      <c r="H618" t="s">
        <v>21</v>
      </c>
      <c r="I618" t="s">
        <v>22</v>
      </c>
      <c r="J618" t="s">
        <v>33</v>
      </c>
      <c r="K618" t="s">
        <v>66</v>
      </c>
      <c r="L618">
        <v>0</v>
      </c>
      <c r="M618" s="1">
        <v>44057</v>
      </c>
      <c r="N618" t="s">
        <v>24</v>
      </c>
      <c r="O618" t="s">
        <v>25</v>
      </c>
      <c r="Q618" s="1">
        <v>43852</v>
      </c>
    </row>
    <row r="619" spans="1:17" x14ac:dyDescent="0.5">
      <c r="A619" t="s">
        <v>404</v>
      </c>
      <c r="B619" t="s">
        <v>442</v>
      </c>
      <c r="C619" t="s">
        <v>19</v>
      </c>
      <c r="D619" s="1">
        <v>43326</v>
      </c>
      <c r="E619" s="1">
        <v>44240</v>
      </c>
      <c r="F619" t="s">
        <v>202</v>
      </c>
      <c r="G619">
        <v>1</v>
      </c>
      <c r="H619" t="s">
        <v>21</v>
      </c>
      <c r="I619" t="s">
        <v>22</v>
      </c>
      <c r="J619" t="s">
        <v>33</v>
      </c>
      <c r="K619" t="s">
        <v>66</v>
      </c>
      <c r="L619">
        <v>0</v>
      </c>
      <c r="M619" s="1">
        <v>43875</v>
      </c>
      <c r="N619" t="s">
        <v>24</v>
      </c>
      <c r="O619" t="s">
        <v>25</v>
      </c>
      <c r="Q619" s="1">
        <v>43852</v>
      </c>
    </row>
    <row r="620" spans="1:17" x14ac:dyDescent="0.5">
      <c r="A620" t="s">
        <v>404</v>
      </c>
      <c r="B620" t="s">
        <v>442</v>
      </c>
      <c r="C620" t="s">
        <v>19</v>
      </c>
      <c r="D620" s="1">
        <v>43326</v>
      </c>
      <c r="E620" s="1">
        <v>44240</v>
      </c>
      <c r="F620" t="s">
        <v>202</v>
      </c>
      <c r="G620">
        <v>1</v>
      </c>
      <c r="H620" t="s">
        <v>21</v>
      </c>
      <c r="I620" t="s">
        <v>22</v>
      </c>
      <c r="J620" t="s">
        <v>33</v>
      </c>
      <c r="K620" t="s">
        <v>66</v>
      </c>
      <c r="L620">
        <v>0</v>
      </c>
      <c r="M620" s="1">
        <v>43965</v>
      </c>
      <c r="N620" t="s">
        <v>24</v>
      </c>
      <c r="O620" t="s">
        <v>25</v>
      </c>
      <c r="Q620" s="1">
        <v>43852</v>
      </c>
    </row>
    <row r="621" spans="1:17" x14ac:dyDescent="0.5">
      <c r="A621" t="s">
        <v>404</v>
      </c>
      <c r="B621" t="s">
        <v>442</v>
      </c>
      <c r="C621" t="s">
        <v>19</v>
      </c>
      <c r="D621" s="1">
        <v>43326</v>
      </c>
      <c r="E621" s="1">
        <v>44240</v>
      </c>
      <c r="F621" t="s">
        <v>202</v>
      </c>
      <c r="G621">
        <v>1</v>
      </c>
      <c r="H621" t="s">
        <v>21</v>
      </c>
      <c r="I621" t="s">
        <v>22</v>
      </c>
      <c r="J621" t="s">
        <v>33</v>
      </c>
      <c r="K621" t="s">
        <v>66</v>
      </c>
      <c r="L621">
        <v>0</v>
      </c>
      <c r="M621" s="1">
        <v>43783</v>
      </c>
      <c r="N621" t="s">
        <v>24</v>
      </c>
      <c r="O621" t="s">
        <v>25</v>
      </c>
      <c r="Q621" s="1">
        <v>43852</v>
      </c>
    </row>
    <row r="622" spans="1:17" x14ac:dyDescent="0.5">
      <c r="A622" t="s">
        <v>404</v>
      </c>
      <c r="B622" t="s">
        <v>442</v>
      </c>
      <c r="C622" t="s">
        <v>19</v>
      </c>
      <c r="D622" s="1">
        <v>43326</v>
      </c>
      <c r="E622" s="1">
        <v>44240</v>
      </c>
      <c r="F622" t="s">
        <v>202</v>
      </c>
      <c r="G622">
        <v>1</v>
      </c>
      <c r="H622" t="s">
        <v>21</v>
      </c>
      <c r="I622" t="s">
        <v>22</v>
      </c>
      <c r="J622" t="s">
        <v>33</v>
      </c>
      <c r="K622" t="s">
        <v>66</v>
      </c>
      <c r="L622">
        <v>0</v>
      </c>
      <c r="M622" s="1">
        <v>43418</v>
      </c>
      <c r="N622" t="s">
        <v>24</v>
      </c>
      <c r="O622" t="s">
        <v>25</v>
      </c>
      <c r="Q622" s="1">
        <v>43852</v>
      </c>
    </row>
    <row r="623" spans="1:17" x14ac:dyDescent="0.5">
      <c r="A623" t="s">
        <v>404</v>
      </c>
      <c r="B623" t="s">
        <v>442</v>
      </c>
      <c r="C623" t="s">
        <v>19</v>
      </c>
      <c r="D623" s="1">
        <v>43326</v>
      </c>
      <c r="E623" s="1">
        <v>44240</v>
      </c>
      <c r="F623" t="s">
        <v>202</v>
      </c>
      <c r="G623">
        <v>1</v>
      </c>
      <c r="H623" t="s">
        <v>21</v>
      </c>
      <c r="I623" t="s">
        <v>22</v>
      </c>
      <c r="J623" t="s">
        <v>33</v>
      </c>
      <c r="K623" t="s">
        <v>66</v>
      </c>
      <c r="L623">
        <v>0</v>
      </c>
      <c r="M623" s="1">
        <v>43510</v>
      </c>
      <c r="N623" t="s">
        <v>24</v>
      </c>
      <c r="O623" t="s">
        <v>25</v>
      </c>
      <c r="Q623" s="1">
        <v>43852</v>
      </c>
    </row>
    <row r="624" spans="1:17" x14ac:dyDescent="0.5">
      <c r="A624" t="s">
        <v>404</v>
      </c>
      <c r="B624" t="s">
        <v>442</v>
      </c>
      <c r="C624" t="s">
        <v>19</v>
      </c>
      <c r="D624" s="1">
        <v>43326</v>
      </c>
      <c r="E624" s="1">
        <v>44240</v>
      </c>
      <c r="F624" t="s">
        <v>202</v>
      </c>
      <c r="G624">
        <v>1</v>
      </c>
      <c r="H624" t="s">
        <v>21</v>
      </c>
      <c r="I624" t="s">
        <v>22</v>
      </c>
      <c r="J624" t="s">
        <v>33</v>
      </c>
      <c r="K624" t="s">
        <v>66</v>
      </c>
      <c r="L624">
        <v>0</v>
      </c>
      <c r="M624" s="1">
        <v>43599</v>
      </c>
      <c r="N624" t="s">
        <v>24</v>
      </c>
      <c r="O624" t="s">
        <v>25</v>
      </c>
      <c r="Q624" s="1">
        <v>43852</v>
      </c>
    </row>
    <row r="625" spans="1:17" x14ac:dyDescent="0.5">
      <c r="A625" t="s">
        <v>404</v>
      </c>
      <c r="B625" t="s">
        <v>442</v>
      </c>
      <c r="C625" t="s">
        <v>19</v>
      </c>
      <c r="D625" s="1">
        <v>43326</v>
      </c>
      <c r="E625" s="1">
        <v>44240</v>
      </c>
      <c r="F625" t="s">
        <v>202</v>
      </c>
      <c r="G625">
        <v>1</v>
      </c>
      <c r="H625" t="s">
        <v>21</v>
      </c>
      <c r="I625" t="s">
        <v>22</v>
      </c>
      <c r="J625" t="s">
        <v>33</v>
      </c>
      <c r="K625" t="s">
        <v>66</v>
      </c>
      <c r="L625">
        <v>0</v>
      </c>
      <c r="M625" s="1">
        <v>43691</v>
      </c>
      <c r="N625" t="s">
        <v>24</v>
      </c>
      <c r="O625" t="s">
        <v>25</v>
      </c>
      <c r="Q625" s="1">
        <v>43852</v>
      </c>
    </row>
    <row r="626" spans="1:17" x14ac:dyDescent="0.5">
      <c r="A626" t="s">
        <v>404</v>
      </c>
      <c r="B626" t="s">
        <v>442</v>
      </c>
      <c r="C626" t="s">
        <v>19</v>
      </c>
      <c r="D626" s="1">
        <v>43326</v>
      </c>
      <c r="E626" s="1">
        <v>44240</v>
      </c>
      <c r="F626" t="s">
        <v>202</v>
      </c>
      <c r="G626">
        <v>1</v>
      </c>
      <c r="H626" t="s">
        <v>21</v>
      </c>
      <c r="I626" t="s">
        <v>22</v>
      </c>
      <c r="J626" t="s">
        <v>33</v>
      </c>
      <c r="K626" t="s">
        <v>66</v>
      </c>
      <c r="L626">
        <v>0</v>
      </c>
      <c r="M626" s="1">
        <v>43326</v>
      </c>
      <c r="N626" t="s">
        <v>24</v>
      </c>
      <c r="O626" t="s">
        <v>25</v>
      </c>
      <c r="Q626" s="1">
        <v>43852</v>
      </c>
    </row>
    <row r="627" spans="1:17" x14ac:dyDescent="0.5">
      <c r="A627" t="s">
        <v>404</v>
      </c>
      <c r="B627" t="s">
        <v>443</v>
      </c>
      <c r="C627" t="s">
        <v>19</v>
      </c>
      <c r="D627" s="1">
        <v>43368</v>
      </c>
      <c r="E627" s="1">
        <v>44098</v>
      </c>
      <c r="F627" t="s">
        <v>202</v>
      </c>
      <c r="G627">
        <v>1</v>
      </c>
      <c r="H627" t="s">
        <v>21</v>
      </c>
      <c r="I627" t="s">
        <v>22</v>
      </c>
      <c r="J627" t="s">
        <v>33</v>
      </c>
      <c r="K627" t="s">
        <v>66</v>
      </c>
      <c r="L627">
        <v>65412.72</v>
      </c>
      <c r="M627" s="1">
        <v>43915</v>
      </c>
      <c r="N627" t="s">
        <v>24</v>
      </c>
      <c r="O627" t="s">
        <v>25</v>
      </c>
      <c r="Q627" s="1">
        <v>43852</v>
      </c>
    </row>
    <row r="628" spans="1:17" x14ac:dyDescent="0.5">
      <c r="A628" t="s">
        <v>404</v>
      </c>
      <c r="B628" t="s">
        <v>443</v>
      </c>
      <c r="C628" t="s">
        <v>19</v>
      </c>
      <c r="D628" s="1">
        <v>43368</v>
      </c>
      <c r="E628" s="1">
        <v>44098</v>
      </c>
      <c r="F628" t="s">
        <v>202</v>
      </c>
      <c r="G628">
        <v>1</v>
      </c>
      <c r="H628" t="s">
        <v>21</v>
      </c>
      <c r="I628" t="s">
        <v>22</v>
      </c>
      <c r="J628" t="s">
        <v>33</v>
      </c>
      <c r="K628" t="s">
        <v>66</v>
      </c>
      <c r="L628">
        <v>83253.179999999993</v>
      </c>
      <c r="M628" s="1">
        <v>43459</v>
      </c>
      <c r="N628" t="s">
        <v>24</v>
      </c>
      <c r="O628" t="s">
        <v>25</v>
      </c>
      <c r="Q628" s="1">
        <v>43852</v>
      </c>
    </row>
    <row r="629" spans="1:17" x14ac:dyDescent="0.5">
      <c r="A629" t="s">
        <v>404</v>
      </c>
      <c r="B629" t="s">
        <v>443</v>
      </c>
      <c r="C629" t="s">
        <v>19</v>
      </c>
      <c r="D629" s="1">
        <v>43368</v>
      </c>
      <c r="E629" s="1">
        <v>44098</v>
      </c>
      <c r="F629" t="s">
        <v>202</v>
      </c>
      <c r="G629">
        <v>1</v>
      </c>
      <c r="H629" t="s">
        <v>21</v>
      </c>
      <c r="I629" t="s">
        <v>22</v>
      </c>
      <c r="J629" t="s">
        <v>33</v>
      </c>
      <c r="K629" t="s">
        <v>66</v>
      </c>
      <c r="L629">
        <v>83253.179999999993</v>
      </c>
      <c r="M629" s="1">
        <v>43549</v>
      </c>
      <c r="N629" t="s">
        <v>24</v>
      </c>
      <c r="O629" t="s">
        <v>25</v>
      </c>
      <c r="Q629" s="1">
        <v>43852</v>
      </c>
    </row>
    <row r="630" spans="1:17" x14ac:dyDescent="0.5">
      <c r="A630" t="s">
        <v>404</v>
      </c>
      <c r="B630" t="s">
        <v>443</v>
      </c>
      <c r="C630" t="s">
        <v>19</v>
      </c>
      <c r="D630" s="1">
        <v>43368</v>
      </c>
      <c r="E630" s="1">
        <v>44098</v>
      </c>
      <c r="F630" t="s">
        <v>202</v>
      </c>
      <c r="G630">
        <v>1</v>
      </c>
      <c r="H630" t="s">
        <v>21</v>
      </c>
      <c r="I630" t="s">
        <v>22</v>
      </c>
      <c r="J630" t="s">
        <v>33</v>
      </c>
      <c r="K630" t="s">
        <v>66</v>
      </c>
      <c r="L630">
        <v>83253.179999999993</v>
      </c>
      <c r="M630" s="1">
        <v>43641</v>
      </c>
      <c r="N630" t="s">
        <v>24</v>
      </c>
      <c r="O630" t="s">
        <v>25</v>
      </c>
      <c r="Q630" s="1">
        <v>43852</v>
      </c>
    </row>
    <row r="631" spans="1:17" x14ac:dyDescent="0.5">
      <c r="A631" t="s">
        <v>404</v>
      </c>
      <c r="B631" t="s">
        <v>443</v>
      </c>
      <c r="C631" t="s">
        <v>19</v>
      </c>
      <c r="D631" s="1">
        <v>43368</v>
      </c>
      <c r="E631" s="1">
        <v>44098</v>
      </c>
      <c r="F631" t="s">
        <v>202</v>
      </c>
      <c r="G631">
        <v>1</v>
      </c>
      <c r="H631" t="s">
        <v>21</v>
      </c>
      <c r="I631" t="s">
        <v>22</v>
      </c>
      <c r="J631" t="s">
        <v>33</v>
      </c>
      <c r="K631" t="s">
        <v>66</v>
      </c>
      <c r="L631">
        <v>83253.179999999993</v>
      </c>
      <c r="M631" s="1">
        <v>43733</v>
      </c>
      <c r="N631" t="s">
        <v>24</v>
      </c>
      <c r="O631" t="s">
        <v>25</v>
      </c>
      <c r="Q631" s="1">
        <v>43852</v>
      </c>
    </row>
    <row r="632" spans="1:17" x14ac:dyDescent="0.5">
      <c r="A632" t="s">
        <v>404</v>
      </c>
      <c r="B632" t="s">
        <v>443</v>
      </c>
      <c r="C632" t="s">
        <v>19</v>
      </c>
      <c r="D632" s="1">
        <v>43368</v>
      </c>
      <c r="E632" s="1">
        <v>44098</v>
      </c>
      <c r="F632" t="s">
        <v>202</v>
      </c>
      <c r="G632">
        <v>1</v>
      </c>
      <c r="H632" t="s">
        <v>21</v>
      </c>
      <c r="I632" t="s">
        <v>22</v>
      </c>
      <c r="J632" t="s">
        <v>33</v>
      </c>
      <c r="K632" t="s">
        <v>66</v>
      </c>
      <c r="L632">
        <v>83253.179999999993</v>
      </c>
      <c r="M632" s="1">
        <v>43824</v>
      </c>
      <c r="N632" t="s">
        <v>24</v>
      </c>
      <c r="O632" t="s">
        <v>25</v>
      </c>
      <c r="Q632" s="1">
        <v>43852</v>
      </c>
    </row>
    <row r="633" spans="1:17" x14ac:dyDescent="0.5">
      <c r="A633" t="s">
        <v>404</v>
      </c>
      <c r="B633" t="s">
        <v>443</v>
      </c>
      <c r="C633" t="s">
        <v>19</v>
      </c>
      <c r="D633" s="1">
        <v>43368</v>
      </c>
      <c r="E633" s="1">
        <v>44098</v>
      </c>
      <c r="F633" t="s">
        <v>202</v>
      </c>
      <c r="G633">
        <v>1</v>
      </c>
      <c r="H633" t="s">
        <v>21</v>
      </c>
      <c r="I633" t="s">
        <v>22</v>
      </c>
      <c r="J633" t="s">
        <v>33</v>
      </c>
      <c r="K633" t="s">
        <v>66</v>
      </c>
      <c r="L633">
        <v>112986.38</v>
      </c>
      <c r="M633" s="1">
        <v>43368</v>
      </c>
      <c r="N633" t="s">
        <v>24</v>
      </c>
      <c r="O633" t="s">
        <v>25</v>
      </c>
      <c r="Q633" s="1">
        <v>43852</v>
      </c>
    </row>
    <row r="634" spans="1:17" x14ac:dyDescent="0.5">
      <c r="A634" t="s">
        <v>404</v>
      </c>
      <c r="B634" t="s">
        <v>443</v>
      </c>
      <c r="C634" t="s">
        <v>19</v>
      </c>
      <c r="D634" s="1">
        <v>43368</v>
      </c>
      <c r="E634" s="1">
        <v>44098</v>
      </c>
      <c r="F634" t="s">
        <v>202</v>
      </c>
      <c r="G634">
        <v>1</v>
      </c>
      <c r="H634" t="s">
        <v>21</v>
      </c>
      <c r="I634" t="s">
        <v>22</v>
      </c>
      <c r="J634" t="s">
        <v>33</v>
      </c>
      <c r="K634" t="s">
        <v>66</v>
      </c>
      <c r="L634">
        <v>0</v>
      </c>
      <c r="M634" s="1">
        <v>43915</v>
      </c>
      <c r="N634" t="s">
        <v>24</v>
      </c>
      <c r="O634" t="s">
        <v>25</v>
      </c>
      <c r="Q634" s="1">
        <v>43852</v>
      </c>
    </row>
    <row r="635" spans="1:17" x14ac:dyDescent="0.5">
      <c r="A635" t="s">
        <v>404</v>
      </c>
      <c r="B635" t="s">
        <v>443</v>
      </c>
      <c r="C635" t="s">
        <v>19</v>
      </c>
      <c r="D635" s="1">
        <v>43368</v>
      </c>
      <c r="E635" s="1">
        <v>44098</v>
      </c>
      <c r="F635" t="s">
        <v>202</v>
      </c>
      <c r="G635">
        <v>1</v>
      </c>
      <c r="H635" t="s">
        <v>21</v>
      </c>
      <c r="I635" t="s">
        <v>22</v>
      </c>
      <c r="J635" t="s">
        <v>33</v>
      </c>
      <c r="K635" t="s">
        <v>66</v>
      </c>
      <c r="L635">
        <v>0</v>
      </c>
      <c r="M635" s="1">
        <v>43459</v>
      </c>
      <c r="N635" t="s">
        <v>24</v>
      </c>
      <c r="O635" t="s">
        <v>25</v>
      </c>
      <c r="Q635" s="1">
        <v>43852</v>
      </c>
    </row>
    <row r="636" spans="1:17" x14ac:dyDescent="0.5">
      <c r="A636" t="s">
        <v>404</v>
      </c>
      <c r="B636" t="s">
        <v>443</v>
      </c>
      <c r="C636" t="s">
        <v>19</v>
      </c>
      <c r="D636" s="1">
        <v>43368</v>
      </c>
      <c r="E636" s="1">
        <v>44098</v>
      </c>
      <c r="F636" t="s">
        <v>202</v>
      </c>
      <c r="G636">
        <v>1</v>
      </c>
      <c r="H636" t="s">
        <v>21</v>
      </c>
      <c r="I636" t="s">
        <v>22</v>
      </c>
      <c r="J636" t="s">
        <v>33</v>
      </c>
      <c r="K636" t="s">
        <v>66</v>
      </c>
      <c r="L636">
        <v>0</v>
      </c>
      <c r="M636" s="1">
        <v>43549</v>
      </c>
      <c r="N636" t="s">
        <v>24</v>
      </c>
      <c r="O636" t="s">
        <v>25</v>
      </c>
      <c r="Q636" s="1">
        <v>43852</v>
      </c>
    </row>
    <row r="637" spans="1:17" x14ac:dyDescent="0.5">
      <c r="A637" t="s">
        <v>404</v>
      </c>
      <c r="B637" t="s">
        <v>443</v>
      </c>
      <c r="C637" t="s">
        <v>19</v>
      </c>
      <c r="D637" s="1">
        <v>43368</v>
      </c>
      <c r="E637" s="1">
        <v>44098</v>
      </c>
      <c r="F637" t="s">
        <v>202</v>
      </c>
      <c r="G637">
        <v>1</v>
      </c>
      <c r="H637" t="s">
        <v>21</v>
      </c>
      <c r="I637" t="s">
        <v>22</v>
      </c>
      <c r="J637" t="s">
        <v>33</v>
      </c>
      <c r="K637" t="s">
        <v>66</v>
      </c>
      <c r="L637">
        <v>0</v>
      </c>
      <c r="M637" s="1">
        <v>43641</v>
      </c>
      <c r="N637" t="s">
        <v>24</v>
      </c>
      <c r="O637" t="s">
        <v>25</v>
      </c>
      <c r="Q637" s="1">
        <v>43852</v>
      </c>
    </row>
    <row r="638" spans="1:17" x14ac:dyDescent="0.5">
      <c r="A638" t="s">
        <v>404</v>
      </c>
      <c r="B638" t="s">
        <v>443</v>
      </c>
      <c r="C638" t="s">
        <v>19</v>
      </c>
      <c r="D638" s="1">
        <v>43368</v>
      </c>
      <c r="E638" s="1">
        <v>44098</v>
      </c>
      <c r="F638" t="s">
        <v>202</v>
      </c>
      <c r="G638">
        <v>1</v>
      </c>
      <c r="H638" t="s">
        <v>21</v>
      </c>
      <c r="I638" t="s">
        <v>22</v>
      </c>
      <c r="J638" t="s">
        <v>33</v>
      </c>
      <c r="K638" t="s">
        <v>66</v>
      </c>
      <c r="L638">
        <v>0</v>
      </c>
      <c r="M638" s="1">
        <v>43733</v>
      </c>
      <c r="N638" t="s">
        <v>24</v>
      </c>
      <c r="O638" t="s">
        <v>25</v>
      </c>
      <c r="Q638" s="1">
        <v>43852</v>
      </c>
    </row>
    <row r="639" spans="1:17" x14ac:dyDescent="0.5">
      <c r="A639" t="s">
        <v>404</v>
      </c>
      <c r="B639" t="s">
        <v>443</v>
      </c>
      <c r="C639" t="s">
        <v>19</v>
      </c>
      <c r="D639" s="1">
        <v>43368</v>
      </c>
      <c r="E639" s="1">
        <v>44098</v>
      </c>
      <c r="F639" t="s">
        <v>202</v>
      </c>
      <c r="G639">
        <v>1</v>
      </c>
      <c r="H639" t="s">
        <v>21</v>
      </c>
      <c r="I639" t="s">
        <v>22</v>
      </c>
      <c r="J639" t="s">
        <v>33</v>
      </c>
      <c r="K639" t="s">
        <v>66</v>
      </c>
      <c r="L639">
        <v>0</v>
      </c>
      <c r="M639" s="1">
        <v>43824</v>
      </c>
      <c r="N639" t="s">
        <v>24</v>
      </c>
      <c r="O639" t="s">
        <v>25</v>
      </c>
      <c r="Q639" s="1">
        <v>43852</v>
      </c>
    </row>
    <row r="640" spans="1:17" x14ac:dyDescent="0.5">
      <c r="A640" t="s">
        <v>404</v>
      </c>
      <c r="B640" t="s">
        <v>443</v>
      </c>
      <c r="C640" t="s">
        <v>19</v>
      </c>
      <c r="D640" s="1">
        <v>43368</v>
      </c>
      <c r="E640" s="1">
        <v>44098</v>
      </c>
      <c r="F640" t="s">
        <v>202</v>
      </c>
      <c r="G640">
        <v>1</v>
      </c>
      <c r="H640" t="s">
        <v>21</v>
      </c>
      <c r="I640" t="s">
        <v>22</v>
      </c>
      <c r="J640" t="s">
        <v>33</v>
      </c>
      <c r="K640" t="s">
        <v>66</v>
      </c>
      <c r="L640">
        <v>0</v>
      </c>
      <c r="M640" s="1">
        <v>43368</v>
      </c>
      <c r="N640" t="s">
        <v>24</v>
      </c>
      <c r="O640" t="s">
        <v>25</v>
      </c>
      <c r="Q640" s="1">
        <v>43852</v>
      </c>
    </row>
    <row r="641" spans="1:17" x14ac:dyDescent="0.5">
      <c r="A641" t="s">
        <v>404</v>
      </c>
      <c r="B641" t="s">
        <v>444</v>
      </c>
      <c r="C641" t="s">
        <v>31</v>
      </c>
      <c r="D641" s="1">
        <v>43393</v>
      </c>
      <c r="E641" s="1">
        <v>43574</v>
      </c>
      <c r="F641" t="s">
        <v>202</v>
      </c>
      <c r="G641">
        <v>1</v>
      </c>
      <c r="H641" t="s">
        <v>21</v>
      </c>
      <c r="I641" t="s">
        <v>22</v>
      </c>
      <c r="J641" t="s">
        <v>33</v>
      </c>
      <c r="K641" t="s">
        <v>66</v>
      </c>
      <c r="L641">
        <v>101037</v>
      </c>
      <c r="M641" s="1">
        <v>43393</v>
      </c>
      <c r="N641" t="s">
        <v>24</v>
      </c>
      <c r="O641" t="s">
        <v>25</v>
      </c>
      <c r="Q641" s="1">
        <v>43852</v>
      </c>
    </row>
    <row r="642" spans="1:17" x14ac:dyDescent="0.5">
      <c r="A642" t="s">
        <v>404</v>
      </c>
      <c r="B642" t="s">
        <v>445</v>
      </c>
      <c r="C642" t="s">
        <v>31</v>
      </c>
      <c r="D642" s="1">
        <v>43474</v>
      </c>
      <c r="E642" s="1">
        <v>43654</v>
      </c>
      <c r="F642" t="s">
        <v>202</v>
      </c>
      <c r="G642">
        <v>1</v>
      </c>
      <c r="H642" t="s">
        <v>21</v>
      </c>
      <c r="I642" t="s">
        <v>22</v>
      </c>
      <c r="J642" t="s">
        <v>33</v>
      </c>
      <c r="K642" t="s">
        <v>66</v>
      </c>
      <c r="L642">
        <v>16455</v>
      </c>
      <c r="M642" s="1">
        <v>43474</v>
      </c>
      <c r="N642" t="s">
        <v>24</v>
      </c>
      <c r="O642" t="s">
        <v>25</v>
      </c>
      <c r="Q642" s="1">
        <v>43852</v>
      </c>
    </row>
    <row r="643" spans="1:17" x14ac:dyDescent="0.5">
      <c r="A643" t="s">
        <v>404</v>
      </c>
      <c r="B643" t="s">
        <v>445</v>
      </c>
      <c r="C643" t="s">
        <v>31</v>
      </c>
      <c r="D643" s="1">
        <v>43474</v>
      </c>
      <c r="E643" s="1">
        <v>43654</v>
      </c>
      <c r="F643" t="s">
        <v>202</v>
      </c>
      <c r="G643">
        <v>1</v>
      </c>
      <c r="H643" t="s">
        <v>21</v>
      </c>
      <c r="I643" t="s">
        <v>22</v>
      </c>
      <c r="J643" t="s">
        <v>33</v>
      </c>
      <c r="K643" t="s">
        <v>66</v>
      </c>
      <c r="L643">
        <v>0</v>
      </c>
      <c r="M643" s="1">
        <v>43474</v>
      </c>
      <c r="N643" t="s">
        <v>24</v>
      </c>
      <c r="O643" t="s">
        <v>25</v>
      </c>
      <c r="Q643" s="1">
        <v>43852</v>
      </c>
    </row>
    <row r="644" spans="1:17" x14ac:dyDescent="0.5">
      <c r="A644" t="s">
        <v>404</v>
      </c>
      <c r="B644" t="s">
        <v>446</v>
      </c>
      <c r="C644" t="s">
        <v>19</v>
      </c>
      <c r="D644" s="1">
        <v>43531</v>
      </c>
      <c r="E644" s="1">
        <v>43988</v>
      </c>
      <c r="F644" t="s">
        <v>202</v>
      </c>
      <c r="G644">
        <v>1</v>
      </c>
      <c r="H644" t="s">
        <v>21</v>
      </c>
      <c r="I644" t="s">
        <v>22</v>
      </c>
      <c r="J644" t="s">
        <v>33</v>
      </c>
      <c r="K644" t="s">
        <v>66</v>
      </c>
      <c r="L644">
        <v>11360</v>
      </c>
      <c r="M644" s="1">
        <v>43531</v>
      </c>
      <c r="N644" t="s">
        <v>24</v>
      </c>
      <c r="O644" t="s">
        <v>25</v>
      </c>
      <c r="Q644" s="1">
        <v>43852</v>
      </c>
    </row>
    <row r="645" spans="1:17" x14ac:dyDescent="0.5">
      <c r="A645" t="s">
        <v>404</v>
      </c>
      <c r="B645" t="s">
        <v>447</v>
      </c>
      <c r="C645" t="s">
        <v>31</v>
      </c>
      <c r="D645" s="1">
        <v>43551</v>
      </c>
      <c r="E645" s="1">
        <v>43734</v>
      </c>
      <c r="F645" t="s">
        <v>202</v>
      </c>
      <c r="G645">
        <v>1</v>
      </c>
      <c r="H645" t="s">
        <v>21</v>
      </c>
      <c r="I645" t="s">
        <v>22</v>
      </c>
      <c r="J645" t="s">
        <v>33</v>
      </c>
      <c r="K645" t="s">
        <v>66</v>
      </c>
      <c r="L645">
        <v>67102</v>
      </c>
      <c r="M645" s="1">
        <v>43551</v>
      </c>
      <c r="N645" t="s">
        <v>24</v>
      </c>
      <c r="O645" t="s">
        <v>25</v>
      </c>
      <c r="Q645" s="1">
        <v>43852</v>
      </c>
    </row>
    <row r="646" spans="1:17" x14ac:dyDescent="0.5">
      <c r="A646" t="s">
        <v>404</v>
      </c>
      <c r="B646" t="s">
        <v>447</v>
      </c>
      <c r="C646" t="s">
        <v>31</v>
      </c>
      <c r="D646" s="1">
        <v>43551</v>
      </c>
      <c r="E646" s="1">
        <v>43734</v>
      </c>
      <c r="F646" t="s">
        <v>202</v>
      </c>
      <c r="G646">
        <v>1</v>
      </c>
      <c r="H646" t="s">
        <v>21</v>
      </c>
      <c r="I646" t="s">
        <v>22</v>
      </c>
      <c r="J646" t="s">
        <v>33</v>
      </c>
      <c r="K646" t="s">
        <v>66</v>
      </c>
      <c r="L646">
        <v>0</v>
      </c>
      <c r="M646" s="1">
        <v>43551</v>
      </c>
      <c r="N646" t="s">
        <v>24</v>
      </c>
      <c r="O646" t="s">
        <v>25</v>
      </c>
      <c r="Q646" s="1">
        <v>43852</v>
      </c>
    </row>
    <row r="647" spans="1:17" x14ac:dyDescent="0.5">
      <c r="A647" t="s">
        <v>404</v>
      </c>
      <c r="B647" t="s">
        <v>448</v>
      </c>
      <c r="C647" t="s">
        <v>19</v>
      </c>
      <c r="D647" s="1">
        <v>43549</v>
      </c>
      <c r="E647" s="1">
        <v>44279</v>
      </c>
      <c r="F647" t="s">
        <v>202</v>
      </c>
      <c r="G647">
        <v>1</v>
      </c>
      <c r="H647" t="s">
        <v>21</v>
      </c>
      <c r="I647" t="s">
        <v>22</v>
      </c>
      <c r="J647" t="s">
        <v>33</v>
      </c>
      <c r="K647" t="s">
        <v>66</v>
      </c>
      <c r="L647">
        <v>120474.73</v>
      </c>
      <c r="M647" s="1">
        <v>44173</v>
      </c>
      <c r="N647" t="s">
        <v>24</v>
      </c>
      <c r="O647" t="s">
        <v>25</v>
      </c>
      <c r="Q647" s="1">
        <v>43852</v>
      </c>
    </row>
    <row r="648" spans="1:17" x14ac:dyDescent="0.5">
      <c r="A648" t="s">
        <v>404</v>
      </c>
      <c r="B648" t="s">
        <v>448</v>
      </c>
      <c r="C648" t="s">
        <v>19</v>
      </c>
      <c r="D648" s="1">
        <v>43549</v>
      </c>
      <c r="E648" s="1">
        <v>44279</v>
      </c>
      <c r="F648" t="s">
        <v>202</v>
      </c>
      <c r="G648">
        <v>1</v>
      </c>
      <c r="H648" t="s">
        <v>21</v>
      </c>
      <c r="I648" t="s">
        <v>22</v>
      </c>
      <c r="J648" t="s">
        <v>33</v>
      </c>
      <c r="K648" t="s">
        <v>66</v>
      </c>
      <c r="L648">
        <v>153332.03</v>
      </c>
      <c r="M648" s="1">
        <v>43861</v>
      </c>
      <c r="N648" t="s">
        <v>24</v>
      </c>
      <c r="O648" t="s">
        <v>25</v>
      </c>
      <c r="Q648" s="1">
        <v>43852</v>
      </c>
    </row>
    <row r="649" spans="1:17" x14ac:dyDescent="0.5">
      <c r="A649" t="s">
        <v>404</v>
      </c>
      <c r="B649" t="s">
        <v>448</v>
      </c>
      <c r="C649" t="s">
        <v>19</v>
      </c>
      <c r="D649" s="1">
        <v>43549</v>
      </c>
      <c r="E649" s="1">
        <v>44279</v>
      </c>
      <c r="F649" t="s">
        <v>202</v>
      </c>
      <c r="G649">
        <v>1</v>
      </c>
      <c r="H649" t="s">
        <v>21</v>
      </c>
      <c r="I649" t="s">
        <v>22</v>
      </c>
      <c r="J649" t="s">
        <v>33</v>
      </c>
      <c r="K649" t="s">
        <v>66</v>
      </c>
      <c r="L649">
        <v>153332.03</v>
      </c>
      <c r="M649" s="1">
        <v>43965</v>
      </c>
      <c r="N649" t="s">
        <v>24</v>
      </c>
      <c r="O649" t="s">
        <v>25</v>
      </c>
      <c r="Q649" s="1">
        <v>43852</v>
      </c>
    </row>
    <row r="650" spans="1:17" x14ac:dyDescent="0.5">
      <c r="A650" t="s">
        <v>404</v>
      </c>
      <c r="B650" t="s">
        <v>448</v>
      </c>
      <c r="C650" t="s">
        <v>19</v>
      </c>
      <c r="D650" s="1">
        <v>43549</v>
      </c>
      <c r="E650" s="1">
        <v>44279</v>
      </c>
      <c r="F650" t="s">
        <v>202</v>
      </c>
      <c r="G650">
        <v>1</v>
      </c>
      <c r="H650" t="s">
        <v>21</v>
      </c>
      <c r="I650" t="s">
        <v>22</v>
      </c>
      <c r="J650" t="s">
        <v>33</v>
      </c>
      <c r="K650" t="s">
        <v>66</v>
      </c>
      <c r="L650">
        <v>153332.03</v>
      </c>
      <c r="M650" s="1">
        <v>44069</v>
      </c>
      <c r="N650" t="s">
        <v>24</v>
      </c>
      <c r="O650" t="s">
        <v>25</v>
      </c>
      <c r="Q650" s="1">
        <v>43852</v>
      </c>
    </row>
    <row r="651" spans="1:17" x14ac:dyDescent="0.5">
      <c r="A651" t="s">
        <v>404</v>
      </c>
      <c r="B651" t="s">
        <v>448</v>
      </c>
      <c r="C651" t="s">
        <v>19</v>
      </c>
      <c r="D651" s="1">
        <v>43549</v>
      </c>
      <c r="E651" s="1">
        <v>44279</v>
      </c>
      <c r="F651" t="s">
        <v>202</v>
      </c>
      <c r="G651">
        <v>1</v>
      </c>
      <c r="H651" t="s">
        <v>21</v>
      </c>
      <c r="I651" t="s">
        <v>22</v>
      </c>
      <c r="J651" t="s">
        <v>33</v>
      </c>
      <c r="K651" t="s">
        <v>66</v>
      </c>
      <c r="L651">
        <v>153332.03</v>
      </c>
      <c r="M651" s="1">
        <v>43653</v>
      </c>
      <c r="N651" t="s">
        <v>24</v>
      </c>
      <c r="O651" t="s">
        <v>25</v>
      </c>
      <c r="Q651" s="1">
        <v>43852</v>
      </c>
    </row>
    <row r="652" spans="1:17" x14ac:dyDescent="0.5">
      <c r="A652" t="s">
        <v>404</v>
      </c>
      <c r="B652" t="s">
        <v>448</v>
      </c>
      <c r="C652" t="s">
        <v>19</v>
      </c>
      <c r="D652" s="1">
        <v>43549</v>
      </c>
      <c r="E652" s="1">
        <v>44279</v>
      </c>
      <c r="F652" t="s">
        <v>202</v>
      </c>
      <c r="G652">
        <v>1</v>
      </c>
      <c r="H652" t="s">
        <v>21</v>
      </c>
      <c r="I652" t="s">
        <v>22</v>
      </c>
      <c r="J652" t="s">
        <v>33</v>
      </c>
      <c r="K652" t="s">
        <v>66</v>
      </c>
      <c r="L652">
        <v>153332.03</v>
      </c>
      <c r="M652" s="1">
        <v>43757</v>
      </c>
      <c r="N652" t="s">
        <v>24</v>
      </c>
      <c r="O652" t="s">
        <v>25</v>
      </c>
      <c r="Q652" s="1">
        <v>43852</v>
      </c>
    </row>
    <row r="653" spans="1:17" x14ac:dyDescent="0.5">
      <c r="A653" t="s">
        <v>404</v>
      </c>
      <c r="B653" t="s">
        <v>448</v>
      </c>
      <c r="C653" t="s">
        <v>19</v>
      </c>
      <c r="D653" s="1">
        <v>43549</v>
      </c>
      <c r="E653" s="1">
        <v>44279</v>
      </c>
      <c r="F653" t="s">
        <v>202</v>
      </c>
      <c r="G653">
        <v>1</v>
      </c>
      <c r="H653" t="s">
        <v>21</v>
      </c>
      <c r="I653" t="s">
        <v>22</v>
      </c>
      <c r="J653" t="s">
        <v>33</v>
      </c>
      <c r="K653" t="s">
        <v>66</v>
      </c>
      <c r="L653">
        <v>208093.46</v>
      </c>
      <c r="M653" s="1">
        <v>43549</v>
      </c>
      <c r="N653" t="s">
        <v>24</v>
      </c>
      <c r="O653" t="s">
        <v>25</v>
      </c>
      <c r="Q653" s="1">
        <v>43852</v>
      </c>
    </row>
    <row r="654" spans="1:17" x14ac:dyDescent="0.5">
      <c r="A654" t="s">
        <v>404</v>
      </c>
      <c r="B654" t="s">
        <v>448</v>
      </c>
      <c r="C654" t="s">
        <v>19</v>
      </c>
      <c r="D654" s="1">
        <v>43549</v>
      </c>
      <c r="E654" s="1">
        <v>44279</v>
      </c>
      <c r="F654" t="s">
        <v>202</v>
      </c>
      <c r="G654">
        <v>1</v>
      </c>
      <c r="H654" t="s">
        <v>21</v>
      </c>
      <c r="I654" t="s">
        <v>22</v>
      </c>
      <c r="J654" t="s">
        <v>33</v>
      </c>
      <c r="K654" t="s">
        <v>66</v>
      </c>
      <c r="L654">
        <v>0</v>
      </c>
      <c r="M654" s="1">
        <v>44173</v>
      </c>
      <c r="N654" t="s">
        <v>24</v>
      </c>
      <c r="O654" t="s">
        <v>25</v>
      </c>
      <c r="Q654" s="1">
        <v>43852</v>
      </c>
    </row>
    <row r="655" spans="1:17" x14ac:dyDescent="0.5">
      <c r="A655" t="s">
        <v>404</v>
      </c>
      <c r="B655" t="s">
        <v>448</v>
      </c>
      <c r="C655" t="s">
        <v>19</v>
      </c>
      <c r="D655" s="1">
        <v>43549</v>
      </c>
      <c r="E655" s="1">
        <v>44279</v>
      </c>
      <c r="F655" t="s">
        <v>202</v>
      </c>
      <c r="G655">
        <v>1</v>
      </c>
      <c r="H655" t="s">
        <v>21</v>
      </c>
      <c r="I655" t="s">
        <v>22</v>
      </c>
      <c r="J655" t="s">
        <v>33</v>
      </c>
      <c r="K655" t="s">
        <v>66</v>
      </c>
      <c r="L655">
        <v>0</v>
      </c>
      <c r="M655" s="1">
        <v>43861</v>
      </c>
      <c r="N655" t="s">
        <v>24</v>
      </c>
      <c r="O655" t="s">
        <v>25</v>
      </c>
      <c r="Q655" s="1">
        <v>43852</v>
      </c>
    </row>
    <row r="656" spans="1:17" x14ac:dyDescent="0.5">
      <c r="A656" t="s">
        <v>404</v>
      </c>
      <c r="B656" t="s">
        <v>448</v>
      </c>
      <c r="C656" t="s">
        <v>19</v>
      </c>
      <c r="D656" s="1">
        <v>43549</v>
      </c>
      <c r="E656" s="1">
        <v>44279</v>
      </c>
      <c r="F656" t="s">
        <v>202</v>
      </c>
      <c r="G656">
        <v>1</v>
      </c>
      <c r="H656" t="s">
        <v>21</v>
      </c>
      <c r="I656" t="s">
        <v>22</v>
      </c>
      <c r="J656" t="s">
        <v>33</v>
      </c>
      <c r="K656" t="s">
        <v>66</v>
      </c>
      <c r="L656">
        <v>0</v>
      </c>
      <c r="M656" s="1">
        <v>43965</v>
      </c>
      <c r="N656" t="s">
        <v>24</v>
      </c>
      <c r="O656" t="s">
        <v>25</v>
      </c>
      <c r="Q656" s="1">
        <v>43852</v>
      </c>
    </row>
    <row r="657" spans="1:17" x14ac:dyDescent="0.5">
      <c r="A657" t="s">
        <v>404</v>
      </c>
      <c r="B657" t="s">
        <v>448</v>
      </c>
      <c r="C657" t="s">
        <v>19</v>
      </c>
      <c r="D657" s="1">
        <v>43549</v>
      </c>
      <c r="E657" s="1">
        <v>44279</v>
      </c>
      <c r="F657" t="s">
        <v>202</v>
      </c>
      <c r="G657">
        <v>1</v>
      </c>
      <c r="H657" t="s">
        <v>21</v>
      </c>
      <c r="I657" t="s">
        <v>22</v>
      </c>
      <c r="J657" t="s">
        <v>33</v>
      </c>
      <c r="K657" t="s">
        <v>66</v>
      </c>
      <c r="L657">
        <v>0</v>
      </c>
      <c r="M657" s="1">
        <v>44069</v>
      </c>
      <c r="N657" t="s">
        <v>24</v>
      </c>
      <c r="O657" t="s">
        <v>25</v>
      </c>
      <c r="Q657" s="1">
        <v>43852</v>
      </c>
    </row>
    <row r="658" spans="1:17" x14ac:dyDescent="0.5">
      <c r="A658" t="s">
        <v>404</v>
      </c>
      <c r="B658" t="s">
        <v>448</v>
      </c>
      <c r="C658" t="s">
        <v>19</v>
      </c>
      <c r="D658" s="1">
        <v>43549</v>
      </c>
      <c r="E658" s="1">
        <v>44279</v>
      </c>
      <c r="F658" t="s">
        <v>202</v>
      </c>
      <c r="G658">
        <v>1</v>
      </c>
      <c r="H658" t="s">
        <v>21</v>
      </c>
      <c r="I658" t="s">
        <v>22</v>
      </c>
      <c r="J658" t="s">
        <v>33</v>
      </c>
      <c r="K658" t="s">
        <v>66</v>
      </c>
      <c r="L658">
        <v>0</v>
      </c>
      <c r="M658" s="1">
        <v>43653</v>
      </c>
      <c r="N658" t="s">
        <v>24</v>
      </c>
      <c r="O658" t="s">
        <v>25</v>
      </c>
      <c r="Q658" s="1">
        <v>43852</v>
      </c>
    </row>
    <row r="659" spans="1:17" x14ac:dyDescent="0.5">
      <c r="A659" t="s">
        <v>404</v>
      </c>
      <c r="B659" t="s">
        <v>448</v>
      </c>
      <c r="C659" t="s">
        <v>19</v>
      </c>
      <c r="D659" s="1">
        <v>43549</v>
      </c>
      <c r="E659" s="1">
        <v>44279</v>
      </c>
      <c r="F659" t="s">
        <v>202</v>
      </c>
      <c r="G659">
        <v>1</v>
      </c>
      <c r="H659" t="s">
        <v>21</v>
      </c>
      <c r="I659" t="s">
        <v>22</v>
      </c>
      <c r="J659" t="s">
        <v>33</v>
      </c>
      <c r="K659" t="s">
        <v>66</v>
      </c>
      <c r="L659">
        <v>0</v>
      </c>
      <c r="M659" s="1">
        <v>43757</v>
      </c>
      <c r="N659" t="s">
        <v>24</v>
      </c>
      <c r="O659" t="s">
        <v>25</v>
      </c>
      <c r="Q659" s="1">
        <v>43852</v>
      </c>
    </row>
    <row r="660" spans="1:17" x14ac:dyDescent="0.5">
      <c r="A660" t="s">
        <v>404</v>
      </c>
      <c r="B660" t="s">
        <v>448</v>
      </c>
      <c r="C660" t="s">
        <v>19</v>
      </c>
      <c r="D660" s="1">
        <v>43549</v>
      </c>
      <c r="E660" s="1">
        <v>44279</v>
      </c>
      <c r="F660" t="s">
        <v>202</v>
      </c>
      <c r="G660">
        <v>1</v>
      </c>
      <c r="H660" t="s">
        <v>21</v>
      </c>
      <c r="I660" t="s">
        <v>22</v>
      </c>
      <c r="J660" t="s">
        <v>33</v>
      </c>
      <c r="K660" t="s">
        <v>66</v>
      </c>
      <c r="L660">
        <v>0</v>
      </c>
      <c r="M660" s="1">
        <v>43549</v>
      </c>
      <c r="N660" t="s">
        <v>24</v>
      </c>
      <c r="O660" t="s">
        <v>25</v>
      </c>
      <c r="Q660" s="1">
        <v>43852</v>
      </c>
    </row>
    <row r="661" spans="1:17" x14ac:dyDescent="0.5">
      <c r="A661" t="s">
        <v>404</v>
      </c>
      <c r="B661">
        <v>9.9000044180700004E+19</v>
      </c>
      <c r="C661" t="s">
        <v>31</v>
      </c>
      <c r="D661" s="1">
        <v>43299</v>
      </c>
      <c r="E661" s="1">
        <v>43663</v>
      </c>
      <c r="F661" t="s">
        <v>202</v>
      </c>
      <c r="G661">
        <v>1</v>
      </c>
      <c r="H661" t="s">
        <v>21</v>
      </c>
      <c r="I661" t="s">
        <v>22</v>
      </c>
      <c r="J661" t="s">
        <v>54</v>
      </c>
      <c r="K661" t="s">
        <v>23</v>
      </c>
      <c r="L661">
        <v>8107.49</v>
      </c>
      <c r="M661" s="1">
        <v>43299</v>
      </c>
      <c r="N661" t="s">
        <v>24</v>
      </c>
      <c r="O661" t="s">
        <v>25</v>
      </c>
      <c r="Q661" s="1">
        <v>43852</v>
      </c>
    </row>
    <row r="662" spans="1:17" x14ac:dyDescent="0.5">
      <c r="A662" t="s">
        <v>404</v>
      </c>
      <c r="B662" t="s">
        <v>449</v>
      </c>
      <c r="C662" t="s">
        <v>19</v>
      </c>
      <c r="D662" s="1">
        <v>43514</v>
      </c>
      <c r="E662" s="1">
        <v>43878</v>
      </c>
      <c r="F662" t="s">
        <v>202</v>
      </c>
      <c r="G662">
        <v>1</v>
      </c>
      <c r="H662" t="s">
        <v>21</v>
      </c>
      <c r="I662" t="s">
        <v>22</v>
      </c>
      <c r="J662" t="s">
        <v>33</v>
      </c>
      <c r="K662" t="s">
        <v>66</v>
      </c>
      <c r="L662">
        <v>19113.41</v>
      </c>
      <c r="M662" s="1">
        <v>43514</v>
      </c>
      <c r="N662" t="s">
        <v>24</v>
      </c>
      <c r="O662" t="s">
        <v>25</v>
      </c>
      <c r="Q662" s="1">
        <v>43852</v>
      </c>
    </row>
    <row r="663" spans="1:17" x14ac:dyDescent="0.5">
      <c r="A663" t="s">
        <v>404</v>
      </c>
      <c r="B663" t="s">
        <v>450</v>
      </c>
      <c r="C663" t="s">
        <v>19</v>
      </c>
      <c r="D663" s="1">
        <v>43510</v>
      </c>
      <c r="E663" s="1">
        <v>43874</v>
      </c>
      <c r="F663" t="s">
        <v>202</v>
      </c>
      <c r="G663">
        <v>1</v>
      </c>
      <c r="H663" t="s">
        <v>21</v>
      </c>
      <c r="I663" t="s">
        <v>22</v>
      </c>
      <c r="J663" t="s">
        <v>33</v>
      </c>
      <c r="K663" t="s">
        <v>23</v>
      </c>
      <c r="L663">
        <v>12055.25</v>
      </c>
      <c r="M663" s="1">
        <v>43510</v>
      </c>
      <c r="N663" t="s">
        <v>24</v>
      </c>
      <c r="O663" t="s">
        <v>25</v>
      </c>
      <c r="Q663" s="1">
        <v>43852</v>
      </c>
    </row>
    <row r="664" spans="1:17" x14ac:dyDescent="0.5">
      <c r="A664" t="s">
        <v>404</v>
      </c>
      <c r="B664">
        <v>9.9000044185099993E+19</v>
      </c>
      <c r="C664" t="s">
        <v>19</v>
      </c>
      <c r="D664" s="1">
        <v>43353</v>
      </c>
      <c r="E664" s="1">
        <v>43717</v>
      </c>
      <c r="F664" t="s">
        <v>36</v>
      </c>
      <c r="G664">
        <v>1</v>
      </c>
      <c r="H664" t="s">
        <v>21</v>
      </c>
      <c r="I664" t="s">
        <v>22</v>
      </c>
      <c r="J664" t="s">
        <v>54</v>
      </c>
      <c r="K664" t="s">
        <v>23</v>
      </c>
      <c r="L664">
        <v>484.75</v>
      </c>
      <c r="M664" s="1">
        <v>43353</v>
      </c>
      <c r="N664" t="s">
        <v>24</v>
      </c>
      <c r="O664" t="s">
        <v>25</v>
      </c>
      <c r="Q664" s="1">
        <v>43852</v>
      </c>
    </row>
    <row r="665" spans="1:17" x14ac:dyDescent="0.5">
      <c r="A665" t="s">
        <v>404</v>
      </c>
      <c r="B665">
        <v>9.9000044185799999E+19</v>
      </c>
      <c r="C665" t="s">
        <v>19</v>
      </c>
      <c r="D665" s="1">
        <v>43353</v>
      </c>
      <c r="E665" s="1">
        <v>43717</v>
      </c>
      <c r="F665" t="s">
        <v>36</v>
      </c>
      <c r="G665">
        <v>1</v>
      </c>
      <c r="H665" t="s">
        <v>21</v>
      </c>
      <c r="I665" t="s">
        <v>22</v>
      </c>
      <c r="J665" t="s">
        <v>33</v>
      </c>
      <c r="K665" t="s">
        <v>23</v>
      </c>
      <c r="L665">
        <v>109.88</v>
      </c>
      <c r="M665" s="1">
        <v>43353</v>
      </c>
      <c r="N665" t="s">
        <v>24</v>
      </c>
      <c r="O665" t="s">
        <v>25</v>
      </c>
      <c r="Q665" s="1">
        <v>43852</v>
      </c>
    </row>
    <row r="666" spans="1:17" x14ac:dyDescent="0.5">
      <c r="A666" t="s">
        <v>404</v>
      </c>
      <c r="B666" t="s">
        <v>451</v>
      </c>
      <c r="C666" t="s">
        <v>19</v>
      </c>
      <c r="D666" s="1">
        <v>43510</v>
      </c>
      <c r="E666" s="1">
        <v>43874</v>
      </c>
      <c r="F666" t="s">
        <v>36</v>
      </c>
      <c r="G666">
        <v>1</v>
      </c>
      <c r="H666" t="s">
        <v>21</v>
      </c>
      <c r="I666" t="s">
        <v>22</v>
      </c>
      <c r="J666" t="s">
        <v>33</v>
      </c>
      <c r="K666" t="s">
        <v>23</v>
      </c>
      <c r="L666">
        <v>27069</v>
      </c>
      <c r="M666" s="1">
        <v>43510</v>
      </c>
      <c r="N666" t="s">
        <v>24</v>
      </c>
      <c r="O666" t="s">
        <v>23</v>
      </c>
      <c r="Q666" s="1">
        <v>43852</v>
      </c>
    </row>
    <row r="667" spans="1:17" x14ac:dyDescent="0.5">
      <c r="A667" t="s">
        <v>404</v>
      </c>
      <c r="B667" t="s">
        <v>452</v>
      </c>
      <c r="C667" t="s">
        <v>19</v>
      </c>
      <c r="D667" s="1">
        <v>43326</v>
      </c>
      <c r="E667" s="1">
        <v>44240</v>
      </c>
      <c r="F667" t="s">
        <v>32</v>
      </c>
      <c r="G667">
        <v>1</v>
      </c>
      <c r="H667" t="s">
        <v>21</v>
      </c>
      <c r="I667" t="s">
        <v>22</v>
      </c>
      <c r="J667" t="s">
        <v>33</v>
      </c>
      <c r="K667" t="s">
        <v>66</v>
      </c>
      <c r="L667">
        <v>66556.88</v>
      </c>
      <c r="M667" s="1">
        <v>43326</v>
      </c>
      <c r="N667" t="s">
        <v>24</v>
      </c>
      <c r="O667" t="s">
        <v>25</v>
      </c>
      <c r="Q667" s="1">
        <v>43852</v>
      </c>
    </row>
    <row r="668" spans="1:17" x14ac:dyDescent="0.5">
      <c r="A668" t="s">
        <v>404</v>
      </c>
      <c r="B668" t="s">
        <v>453</v>
      </c>
      <c r="C668" t="s">
        <v>19</v>
      </c>
      <c r="D668" s="1">
        <v>43575</v>
      </c>
      <c r="E668" s="1">
        <v>43665</v>
      </c>
      <c r="F668" t="s">
        <v>202</v>
      </c>
      <c r="G668">
        <v>1</v>
      </c>
      <c r="H668" t="s">
        <v>21</v>
      </c>
      <c r="I668" t="s">
        <v>22</v>
      </c>
      <c r="J668" t="s">
        <v>33</v>
      </c>
      <c r="K668" t="s">
        <v>66</v>
      </c>
      <c r="L668">
        <v>40959.629999999997</v>
      </c>
      <c r="M668" s="1">
        <v>43575</v>
      </c>
      <c r="N668" t="s">
        <v>24</v>
      </c>
      <c r="O668" t="s">
        <v>23</v>
      </c>
      <c r="Q668" s="1">
        <v>43852</v>
      </c>
    </row>
    <row r="669" spans="1:17" x14ac:dyDescent="0.5">
      <c r="A669" t="s">
        <v>404</v>
      </c>
      <c r="B669" t="s">
        <v>454</v>
      </c>
      <c r="C669" t="s">
        <v>19</v>
      </c>
      <c r="D669" s="1">
        <v>43655</v>
      </c>
      <c r="E669" s="1">
        <v>43746</v>
      </c>
      <c r="F669" t="s">
        <v>202</v>
      </c>
      <c r="G669">
        <v>11</v>
      </c>
      <c r="H669" t="s">
        <v>138</v>
      </c>
      <c r="I669" t="s">
        <v>22</v>
      </c>
      <c r="J669" t="s">
        <v>33</v>
      </c>
      <c r="K669" t="s">
        <v>66</v>
      </c>
      <c r="L669">
        <v>8263.94</v>
      </c>
      <c r="M669" s="1">
        <v>43655</v>
      </c>
      <c r="N669" t="s">
        <v>24</v>
      </c>
      <c r="O669" t="s">
        <v>23</v>
      </c>
      <c r="Q669" s="1">
        <v>43852</v>
      </c>
    </row>
    <row r="670" spans="1:17" x14ac:dyDescent="0.5">
      <c r="A670" t="s">
        <v>404</v>
      </c>
      <c r="B670" t="s">
        <v>454</v>
      </c>
      <c r="C670" t="s">
        <v>19</v>
      </c>
      <c r="D670" s="1">
        <v>43655</v>
      </c>
      <c r="E670" s="1">
        <v>43746</v>
      </c>
      <c r="F670" t="s">
        <v>202</v>
      </c>
      <c r="G670">
        <v>11</v>
      </c>
      <c r="H670" t="s">
        <v>138</v>
      </c>
      <c r="I670" t="s">
        <v>22</v>
      </c>
      <c r="J670" t="s">
        <v>33</v>
      </c>
      <c r="K670" t="s">
        <v>66</v>
      </c>
      <c r="L670">
        <v>0</v>
      </c>
      <c r="M670" s="1">
        <v>43655</v>
      </c>
      <c r="N670" t="s">
        <v>24</v>
      </c>
      <c r="O670" t="s">
        <v>23</v>
      </c>
      <c r="Q670" s="1">
        <v>43852</v>
      </c>
    </row>
    <row r="671" spans="1:17" x14ac:dyDescent="0.5">
      <c r="A671" t="s">
        <v>404</v>
      </c>
      <c r="B671" t="s">
        <v>455</v>
      </c>
      <c r="C671" t="s">
        <v>19</v>
      </c>
      <c r="D671" s="1">
        <v>43735</v>
      </c>
      <c r="E671" s="1">
        <v>43916</v>
      </c>
      <c r="F671" t="s">
        <v>202</v>
      </c>
      <c r="G671">
        <v>11</v>
      </c>
      <c r="H671" t="s">
        <v>138</v>
      </c>
      <c r="I671" t="s">
        <v>22</v>
      </c>
      <c r="J671" t="s">
        <v>33</v>
      </c>
      <c r="K671" t="s">
        <v>66</v>
      </c>
      <c r="L671">
        <v>67102.13</v>
      </c>
      <c r="M671" s="1">
        <v>43735</v>
      </c>
      <c r="N671" t="s">
        <v>24</v>
      </c>
      <c r="O671" t="s">
        <v>23</v>
      </c>
      <c r="Q671" s="1">
        <v>43852</v>
      </c>
    </row>
    <row r="672" spans="1:17" x14ac:dyDescent="0.5">
      <c r="A672" t="s">
        <v>404</v>
      </c>
      <c r="B672" t="s">
        <v>456</v>
      </c>
      <c r="C672" t="s">
        <v>31</v>
      </c>
      <c r="D672" s="1">
        <v>43556</v>
      </c>
      <c r="E672" s="1">
        <v>43921</v>
      </c>
      <c r="F672" t="s">
        <v>202</v>
      </c>
      <c r="G672">
        <v>11</v>
      </c>
      <c r="H672" t="s">
        <v>138</v>
      </c>
      <c r="I672" t="s">
        <v>22</v>
      </c>
      <c r="J672" t="s">
        <v>33</v>
      </c>
      <c r="K672" t="s">
        <v>23</v>
      </c>
      <c r="L672">
        <v>90663.25</v>
      </c>
      <c r="M672" s="1">
        <v>43556</v>
      </c>
      <c r="N672" t="s">
        <v>24</v>
      </c>
      <c r="O672" t="s">
        <v>252</v>
      </c>
      <c r="P672" t="s">
        <v>253</v>
      </c>
      <c r="Q672" s="1">
        <v>43852</v>
      </c>
    </row>
    <row r="673" spans="1:17" x14ac:dyDescent="0.5">
      <c r="A673" t="s">
        <v>404</v>
      </c>
      <c r="B673" t="s">
        <v>457</v>
      </c>
      <c r="C673" t="s">
        <v>19</v>
      </c>
      <c r="D673" s="1">
        <v>43556</v>
      </c>
      <c r="E673" s="1">
        <v>43921</v>
      </c>
      <c r="F673" t="s">
        <v>202</v>
      </c>
      <c r="G673">
        <v>11</v>
      </c>
      <c r="H673" t="s">
        <v>138</v>
      </c>
      <c r="I673" t="s">
        <v>22</v>
      </c>
      <c r="J673" t="s">
        <v>33</v>
      </c>
      <c r="K673" t="s">
        <v>66</v>
      </c>
      <c r="L673">
        <v>90663.25</v>
      </c>
      <c r="M673" s="1">
        <v>43556</v>
      </c>
      <c r="N673" t="s">
        <v>24</v>
      </c>
      <c r="O673" t="s">
        <v>25</v>
      </c>
      <c r="Q673" s="1">
        <v>43852</v>
      </c>
    </row>
    <row r="674" spans="1:17" x14ac:dyDescent="0.5">
      <c r="A674" t="s">
        <v>404</v>
      </c>
      <c r="B674" t="s">
        <v>458</v>
      </c>
      <c r="C674" t="s">
        <v>19</v>
      </c>
      <c r="D674" s="1">
        <v>43664</v>
      </c>
      <c r="E674" s="1">
        <v>44029</v>
      </c>
      <c r="F674" t="s">
        <v>202</v>
      </c>
      <c r="G674">
        <v>1</v>
      </c>
      <c r="H674" t="s">
        <v>21</v>
      </c>
      <c r="I674" t="s">
        <v>22</v>
      </c>
      <c r="J674" t="s">
        <v>54</v>
      </c>
      <c r="K674" t="s">
        <v>23</v>
      </c>
      <c r="L674">
        <v>8854.8799999999992</v>
      </c>
      <c r="M674" s="1">
        <v>43664</v>
      </c>
      <c r="N674" t="s">
        <v>24</v>
      </c>
      <c r="O674" t="s">
        <v>23</v>
      </c>
      <c r="Q674" s="1">
        <v>43852</v>
      </c>
    </row>
    <row r="675" spans="1:17" x14ac:dyDescent="0.5">
      <c r="A675" t="s">
        <v>404</v>
      </c>
      <c r="B675" t="s">
        <v>459</v>
      </c>
      <c r="C675" t="s">
        <v>19</v>
      </c>
      <c r="D675" s="1">
        <v>43556</v>
      </c>
      <c r="E675" s="1">
        <v>43921</v>
      </c>
      <c r="F675" t="s">
        <v>202</v>
      </c>
      <c r="G675">
        <v>1</v>
      </c>
      <c r="H675" t="s">
        <v>21</v>
      </c>
      <c r="I675" t="s">
        <v>22</v>
      </c>
      <c r="J675" t="s">
        <v>33</v>
      </c>
      <c r="K675" t="s">
        <v>23</v>
      </c>
      <c r="L675">
        <v>7187.34</v>
      </c>
      <c r="M675" s="1">
        <v>43556</v>
      </c>
      <c r="N675" t="s">
        <v>24</v>
      </c>
      <c r="O675" t="s">
        <v>25</v>
      </c>
      <c r="Q675" s="1">
        <v>43852</v>
      </c>
    </row>
    <row r="676" spans="1:17" x14ac:dyDescent="0.5">
      <c r="A676" t="s">
        <v>404</v>
      </c>
      <c r="B676" t="s">
        <v>459</v>
      </c>
      <c r="C676" t="s">
        <v>19</v>
      </c>
      <c r="D676" s="1">
        <v>43556</v>
      </c>
      <c r="E676" s="1">
        <v>43921</v>
      </c>
      <c r="F676" t="s">
        <v>202</v>
      </c>
      <c r="G676">
        <v>1</v>
      </c>
      <c r="H676" t="s">
        <v>21</v>
      </c>
      <c r="I676" t="s">
        <v>22</v>
      </c>
      <c r="J676" t="s">
        <v>33</v>
      </c>
      <c r="K676" t="s">
        <v>23</v>
      </c>
      <c r="L676">
        <v>0</v>
      </c>
      <c r="M676" s="1">
        <v>43556</v>
      </c>
      <c r="N676" t="s">
        <v>24</v>
      </c>
      <c r="O676" t="s">
        <v>25</v>
      </c>
      <c r="Q676" s="1">
        <v>43852</v>
      </c>
    </row>
    <row r="677" spans="1:17" x14ac:dyDescent="0.5">
      <c r="A677" t="s">
        <v>404</v>
      </c>
      <c r="B677">
        <v>9.9000046172479996E+19</v>
      </c>
      <c r="C677" t="s">
        <v>31</v>
      </c>
      <c r="D677" s="1">
        <v>42852</v>
      </c>
      <c r="E677" s="1">
        <v>43216</v>
      </c>
      <c r="F677" t="s">
        <v>36</v>
      </c>
      <c r="G677">
        <v>1</v>
      </c>
      <c r="H677" t="s">
        <v>21</v>
      </c>
      <c r="I677" t="s">
        <v>22</v>
      </c>
      <c r="J677" t="s">
        <v>33</v>
      </c>
      <c r="K677" t="s">
        <v>66</v>
      </c>
      <c r="L677">
        <v>121755.9</v>
      </c>
      <c r="M677" s="1">
        <v>42852</v>
      </c>
      <c r="N677" t="s">
        <v>24</v>
      </c>
      <c r="O677" t="s">
        <v>252</v>
      </c>
      <c r="P677" t="s">
        <v>460</v>
      </c>
      <c r="Q677" s="1">
        <v>43852</v>
      </c>
    </row>
    <row r="678" spans="1:17" x14ac:dyDescent="0.5">
      <c r="A678" t="s">
        <v>404</v>
      </c>
      <c r="B678" t="s">
        <v>461</v>
      </c>
      <c r="C678" t="s">
        <v>31</v>
      </c>
      <c r="D678" s="1">
        <v>43191</v>
      </c>
      <c r="E678" s="1">
        <v>43555</v>
      </c>
      <c r="F678" t="s">
        <v>36</v>
      </c>
      <c r="G678">
        <v>1</v>
      </c>
      <c r="H678" t="s">
        <v>21</v>
      </c>
      <c r="I678" t="s">
        <v>22</v>
      </c>
      <c r="J678" t="s">
        <v>54</v>
      </c>
      <c r="K678" t="s">
        <v>66</v>
      </c>
      <c r="L678">
        <v>96758.81</v>
      </c>
      <c r="M678" s="1">
        <v>43191</v>
      </c>
      <c r="N678" t="s">
        <v>24</v>
      </c>
      <c r="O678" t="s">
        <v>25</v>
      </c>
      <c r="Q678" s="1">
        <v>43852</v>
      </c>
    </row>
    <row r="679" spans="1:17" x14ac:dyDescent="0.5">
      <c r="A679" t="s">
        <v>404</v>
      </c>
      <c r="B679">
        <v>9.90000461824E+19</v>
      </c>
      <c r="C679" t="s">
        <v>31</v>
      </c>
      <c r="D679" s="1">
        <v>43217</v>
      </c>
      <c r="E679" s="1">
        <v>43581</v>
      </c>
      <c r="F679" t="s">
        <v>36</v>
      </c>
      <c r="G679">
        <v>1</v>
      </c>
      <c r="H679" t="s">
        <v>21</v>
      </c>
      <c r="I679" t="s">
        <v>22</v>
      </c>
      <c r="J679" t="s">
        <v>33</v>
      </c>
      <c r="K679" t="s">
        <v>23</v>
      </c>
      <c r="L679">
        <v>149758.53</v>
      </c>
      <c r="M679" s="1">
        <v>43247</v>
      </c>
      <c r="N679" t="s">
        <v>24</v>
      </c>
      <c r="O679" t="s">
        <v>25</v>
      </c>
      <c r="Q679" s="1">
        <v>43852</v>
      </c>
    </row>
    <row r="680" spans="1:17" x14ac:dyDescent="0.5">
      <c r="A680" t="s">
        <v>404</v>
      </c>
      <c r="B680" t="s">
        <v>462</v>
      </c>
      <c r="C680" t="s">
        <v>31</v>
      </c>
      <c r="D680" s="1">
        <v>43258</v>
      </c>
      <c r="E680" s="1">
        <v>43622</v>
      </c>
      <c r="F680" t="s">
        <v>36</v>
      </c>
      <c r="G680">
        <v>1</v>
      </c>
      <c r="H680" t="s">
        <v>21</v>
      </c>
      <c r="I680" t="s">
        <v>22</v>
      </c>
      <c r="J680" t="s">
        <v>54</v>
      </c>
      <c r="K680" t="s">
        <v>66</v>
      </c>
      <c r="L680">
        <v>9277.1</v>
      </c>
      <c r="M680" s="1">
        <v>43258</v>
      </c>
      <c r="N680" t="s">
        <v>24</v>
      </c>
      <c r="O680" t="s">
        <v>25</v>
      </c>
      <c r="Q680" s="1">
        <v>43852</v>
      </c>
    </row>
    <row r="681" spans="1:17" x14ac:dyDescent="0.5">
      <c r="A681" t="s">
        <v>404</v>
      </c>
      <c r="B681" t="s">
        <v>463</v>
      </c>
      <c r="C681" t="s">
        <v>31</v>
      </c>
      <c r="D681" s="1">
        <v>43297</v>
      </c>
      <c r="E681" s="1">
        <v>43661</v>
      </c>
      <c r="F681" t="s">
        <v>36</v>
      </c>
      <c r="G681">
        <v>1</v>
      </c>
      <c r="H681" t="s">
        <v>21</v>
      </c>
      <c r="I681" t="s">
        <v>22</v>
      </c>
      <c r="J681" t="s">
        <v>33</v>
      </c>
      <c r="K681" t="s">
        <v>66</v>
      </c>
      <c r="L681">
        <v>16533.25</v>
      </c>
      <c r="M681" s="1">
        <v>43297</v>
      </c>
      <c r="N681" t="s">
        <v>24</v>
      </c>
      <c r="O681" t="s">
        <v>25</v>
      </c>
      <c r="Q681" s="1">
        <v>43852</v>
      </c>
    </row>
    <row r="682" spans="1:17" x14ac:dyDescent="0.5">
      <c r="A682" t="s">
        <v>404</v>
      </c>
      <c r="B682" t="s">
        <v>464</v>
      </c>
      <c r="C682" t="s">
        <v>31</v>
      </c>
      <c r="D682" s="1">
        <v>43297</v>
      </c>
      <c r="E682" s="1">
        <v>43661</v>
      </c>
      <c r="F682" t="s">
        <v>36</v>
      </c>
      <c r="G682">
        <v>1</v>
      </c>
      <c r="H682" t="s">
        <v>21</v>
      </c>
      <c r="I682" t="s">
        <v>22</v>
      </c>
      <c r="J682" t="s">
        <v>54</v>
      </c>
      <c r="K682" t="s">
        <v>66</v>
      </c>
      <c r="L682">
        <v>15408.4</v>
      </c>
      <c r="M682" s="1">
        <v>43297</v>
      </c>
      <c r="N682" t="s">
        <v>24</v>
      </c>
      <c r="O682" t="s">
        <v>25</v>
      </c>
      <c r="Q682" s="1">
        <v>43852</v>
      </c>
    </row>
    <row r="683" spans="1:17" x14ac:dyDescent="0.5">
      <c r="A683" t="s">
        <v>404</v>
      </c>
      <c r="B683" t="s">
        <v>465</v>
      </c>
      <c r="C683" t="s">
        <v>31</v>
      </c>
      <c r="D683" s="1">
        <v>43297</v>
      </c>
      <c r="E683" s="1">
        <v>43661</v>
      </c>
      <c r="F683" t="s">
        <v>36</v>
      </c>
      <c r="G683">
        <v>1</v>
      </c>
      <c r="H683" t="s">
        <v>21</v>
      </c>
      <c r="I683" t="s">
        <v>22</v>
      </c>
      <c r="J683" t="s">
        <v>54</v>
      </c>
      <c r="K683" t="s">
        <v>66</v>
      </c>
      <c r="L683">
        <v>56757.75</v>
      </c>
      <c r="M683" s="1">
        <v>43297</v>
      </c>
      <c r="N683" t="s">
        <v>24</v>
      </c>
      <c r="O683" t="s">
        <v>25</v>
      </c>
      <c r="Q683" s="1">
        <v>43852</v>
      </c>
    </row>
    <row r="684" spans="1:17" x14ac:dyDescent="0.5">
      <c r="A684" t="s">
        <v>404</v>
      </c>
      <c r="B684" t="s">
        <v>466</v>
      </c>
      <c r="C684" t="s">
        <v>19</v>
      </c>
      <c r="D684" s="1">
        <v>43556</v>
      </c>
      <c r="E684" s="1">
        <v>43921</v>
      </c>
      <c r="F684" t="s">
        <v>36</v>
      </c>
      <c r="G684">
        <v>1</v>
      </c>
      <c r="H684" t="s">
        <v>21</v>
      </c>
      <c r="I684" t="s">
        <v>22</v>
      </c>
      <c r="J684" t="s">
        <v>54</v>
      </c>
      <c r="K684" t="s">
        <v>23</v>
      </c>
      <c r="L684">
        <v>60229.25</v>
      </c>
      <c r="M684" s="1">
        <v>43556</v>
      </c>
      <c r="N684" t="s">
        <v>24</v>
      </c>
      <c r="O684" t="s">
        <v>23</v>
      </c>
      <c r="Q684" s="1">
        <v>43852</v>
      </c>
    </row>
    <row r="685" spans="1:17" x14ac:dyDescent="0.5">
      <c r="A685" t="s">
        <v>404</v>
      </c>
      <c r="B685" t="s">
        <v>467</v>
      </c>
      <c r="C685" t="s">
        <v>19</v>
      </c>
      <c r="D685" s="1">
        <v>43582</v>
      </c>
      <c r="E685" s="1">
        <v>43611</v>
      </c>
      <c r="F685" t="s">
        <v>36</v>
      </c>
      <c r="G685">
        <v>1</v>
      </c>
      <c r="H685" t="s">
        <v>21</v>
      </c>
      <c r="I685" t="s">
        <v>22</v>
      </c>
      <c r="J685" t="s">
        <v>33</v>
      </c>
      <c r="K685" t="s">
        <v>23</v>
      </c>
      <c r="L685">
        <v>21358.38</v>
      </c>
      <c r="M685" s="1">
        <v>43582</v>
      </c>
      <c r="N685" t="s">
        <v>24</v>
      </c>
      <c r="O685" t="s">
        <v>23</v>
      </c>
      <c r="Q685" s="1">
        <v>43852</v>
      </c>
    </row>
    <row r="686" spans="1:17" x14ac:dyDescent="0.5">
      <c r="A686" t="s">
        <v>404</v>
      </c>
      <c r="B686" t="s">
        <v>468</v>
      </c>
      <c r="C686" t="s">
        <v>19</v>
      </c>
      <c r="D686" s="1">
        <v>43628</v>
      </c>
      <c r="E686" s="1">
        <v>43993</v>
      </c>
      <c r="F686" t="s">
        <v>36</v>
      </c>
      <c r="G686">
        <v>1</v>
      </c>
      <c r="H686" t="s">
        <v>21</v>
      </c>
      <c r="I686" t="s">
        <v>22</v>
      </c>
      <c r="J686" t="s">
        <v>54</v>
      </c>
      <c r="K686" t="s">
        <v>66</v>
      </c>
      <c r="L686">
        <v>10937.5</v>
      </c>
      <c r="M686" s="1">
        <v>43628</v>
      </c>
      <c r="N686" t="s">
        <v>24</v>
      </c>
      <c r="O686" t="s">
        <v>23</v>
      </c>
      <c r="Q686" s="1">
        <v>43852</v>
      </c>
    </row>
    <row r="687" spans="1:17" x14ac:dyDescent="0.5">
      <c r="A687" t="s">
        <v>404</v>
      </c>
      <c r="B687" t="s">
        <v>469</v>
      </c>
      <c r="C687" t="s">
        <v>19</v>
      </c>
      <c r="D687" s="1">
        <v>43662</v>
      </c>
      <c r="E687" s="1">
        <v>44027</v>
      </c>
      <c r="F687" t="s">
        <v>36</v>
      </c>
      <c r="G687">
        <v>1</v>
      </c>
      <c r="H687" t="s">
        <v>21</v>
      </c>
      <c r="I687" t="s">
        <v>22</v>
      </c>
      <c r="J687" t="s">
        <v>54</v>
      </c>
      <c r="K687" t="s">
        <v>66</v>
      </c>
      <c r="L687">
        <v>16474.5</v>
      </c>
      <c r="M687" s="1">
        <v>43662</v>
      </c>
      <c r="N687" t="s">
        <v>24</v>
      </c>
      <c r="O687" t="s">
        <v>23</v>
      </c>
      <c r="Q687" s="1">
        <v>43852</v>
      </c>
    </row>
    <row r="688" spans="1:17" x14ac:dyDescent="0.5">
      <c r="A688" t="s">
        <v>404</v>
      </c>
      <c r="B688" t="s">
        <v>470</v>
      </c>
      <c r="C688" t="s">
        <v>19</v>
      </c>
      <c r="D688" s="1">
        <v>43662</v>
      </c>
      <c r="E688" s="1">
        <v>44027</v>
      </c>
      <c r="F688" t="s">
        <v>36</v>
      </c>
      <c r="G688">
        <v>1</v>
      </c>
      <c r="H688" t="s">
        <v>21</v>
      </c>
      <c r="I688" t="s">
        <v>22</v>
      </c>
      <c r="J688" t="s">
        <v>33</v>
      </c>
      <c r="K688" t="s">
        <v>66</v>
      </c>
      <c r="L688">
        <v>10776.25</v>
      </c>
      <c r="M688" s="1">
        <v>43662</v>
      </c>
      <c r="N688" t="s">
        <v>24</v>
      </c>
      <c r="O688" t="s">
        <v>23</v>
      </c>
      <c r="Q688" s="1">
        <v>43852</v>
      </c>
    </row>
    <row r="689" spans="1:17" x14ac:dyDescent="0.5">
      <c r="A689" t="s">
        <v>404</v>
      </c>
      <c r="B689" t="s">
        <v>471</v>
      </c>
      <c r="C689" t="s">
        <v>19</v>
      </c>
      <c r="D689" s="1">
        <v>43662</v>
      </c>
      <c r="E689" s="1">
        <v>44027</v>
      </c>
      <c r="F689" t="s">
        <v>36</v>
      </c>
      <c r="G689">
        <v>1</v>
      </c>
      <c r="H689" t="s">
        <v>21</v>
      </c>
      <c r="I689" t="s">
        <v>22</v>
      </c>
      <c r="J689" t="s">
        <v>54</v>
      </c>
      <c r="K689" t="s">
        <v>66</v>
      </c>
      <c r="L689">
        <v>61042.25</v>
      </c>
      <c r="M689" s="1">
        <v>43662</v>
      </c>
      <c r="N689" t="s">
        <v>24</v>
      </c>
      <c r="O689" t="s">
        <v>23</v>
      </c>
      <c r="Q689" s="1">
        <v>43852</v>
      </c>
    </row>
    <row r="690" spans="1:17" x14ac:dyDescent="0.5">
      <c r="A690" t="s">
        <v>404</v>
      </c>
      <c r="B690" t="s">
        <v>472</v>
      </c>
      <c r="C690" t="s">
        <v>19</v>
      </c>
      <c r="D690" s="1">
        <v>43661</v>
      </c>
      <c r="E690" s="1">
        <v>44026</v>
      </c>
      <c r="F690" t="s">
        <v>32</v>
      </c>
      <c r="G690">
        <v>11</v>
      </c>
      <c r="H690" t="s">
        <v>138</v>
      </c>
      <c r="I690" t="s">
        <v>22</v>
      </c>
      <c r="J690" t="s">
        <v>54</v>
      </c>
      <c r="K690" t="s">
        <v>66</v>
      </c>
      <c r="L690">
        <v>15601.02</v>
      </c>
      <c r="M690" s="1">
        <v>43661</v>
      </c>
      <c r="N690" t="s">
        <v>24</v>
      </c>
      <c r="O690" t="s">
        <v>25</v>
      </c>
      <c r="Q690" s="1">
        <v>43852</v>
      </c>
    </row>
    <row r="691" spans="1:17" x14ac:dyDescent="0.5">
      <c r="A691" t="s">
        <v>404</v>
      </c>
      <c r="B691" t="s">
        <v>473</v>
      </c>
      <c r="C691" t="s">
        <v>19</v>
      </c>
      <c r="D691" s="1">
        <v>42852</v>
      </c>
      <c r="E691" s="1">
        <v>43216</v>
      </c>
      <c r="F691" t="s">
        <v>36</v>
      </c>
      <c r="G691">
        <v>1</v>
      </c>
      <c r="H691" t="s">
        <v>21</v>
      </c>
      <c r="I691" t="s">
        <v>22</v>
      </c>
      <c r="J691" t="s">
        <v>33</v>
      </c>
      <c r="K691" t="s">
        <v>66</v>
      </c>
      <c r="L691">
        <v>7000</v>
      </c>
      <c r="M691" s="1">
        <v>43216</v>
      </c>
      <c r="N691" t="s">
        <v>24</v>
      </c>
      <c r="O691" t="s">
        <v>25</v>
      </c>
      <c r="Q691" s="1">
        <v>43852</v>
      </c>
    </row>
    <row r="692" spans="1:17" x14ac:dyDescent="0.5">
      <c r="A692" t="s">
        <v>404</v>
      </c>
      <c r="B692">
        <v>1.6023182843E+17</v>
      </c>
      <c r="C692" t="s">
        <v>31</v>
      </c>
      <c r="D692" s="1">
        <v>43318</v>
      </c>
      <c r="E692" s="1">
        <v>43682</v>
      </c>
      <c r="F692" t="s">
        <v>40</v>
      </c>
      <c r="G692">
        <v>13</v>
      </c>
      <c r="H692" t="s">
        <v>212</v>
      </c>
      <c r="I692" t="s">
        <v>22</v>
      </c>
      <c r="J692" t="s">
        <v>42</v>
      </c>
      <c r="K692" t="s">
        <v>23</v>
      </c>
      <c r="L692">
        <v>21000</v>
      </c>
      <c r="M692" s="1">
        <v>43318</v>
      </c>
      <c r="N692" t="s">
        <v>24</v>
      </c>
      <c r="O692" t="s">
        <v>252</v>
      </c>
      <c r="P692" t="s">
        <v>253</v>
      </c>
      <c r="Q692" s="1">
        <v>43852</v>
      </c>
    </row>
    <row r="693" spans="1:17" x14ac:dyDescent="0.5">
      <c r="A693" t="s">
        <v>404</v>
      </c>
      <c r="B693" t="s">
        <v>474</v>
      </c>
      <c r="C693" t="s">
        <v>19</v>
      </c>
      <c r="D693" s="1">
        <v>43687</v>
      </c>
      <c r="E693" s="1">
        <v>44052</v>
      </c>
      <c r="F693" t="s">
        <v>40</v>
      </c>
      <c r="G693">
        <v>13</v>
      </c>
      <c r="H693" t="s">
        <v>212</v>
      </c>
      <c r="I693" t="s">
        <v>22</v>
      </c>
      <c r="J693" t="s">
        <v>42</v>
      </c>
      <c r="K693" t="s">
        <v>66</v>
      </c>
      <c r="L693">
        <v>28069.13</v>
      </c>
      <c r="M693" s="1">
        <v>43687</v>
      </c>
      <c r="N693" t="s">
        <v>24</v>
      </c>
      <c r="O693" t="s">
        <v>25</v>
      </c>
      <c r="Q693" s="1">
        <v>43852</v>
      </c>
    </row>
    <row r="694" spans="1:17" x14ac:dyDescent="0.5">
      <c r="A694" t="s">
        <v>26</v>
      </c>
      <c r="B694">
        <v>41047870</v>
      </c>
      <c r="C694" t="s">
        <v>19</v>
      </c>
      <c r="D694" s="1">
        <v>43651</v>
      </c>
      <c r="E694" s="1">
        <v>44016</v>
      </c>
      <c r="F694" t="s">
        <v>37</v>
      </c>
      <c r="G694">
        <v>2</v>
      </c>
      <c r="H694" t="s">
        <v>27</v>
      </c>
      <c r="I694" t="s">
        <v>22</v>
      </c>
      <c r="J694" t="s">
        <v>37</v>
      </c>
      <c r="K694" t="s">
        <v>28</v>
      </c>
      <c r="L694">
        <v>72675</v>
      </c>
      <c r="M694" s="1">
        <v>43651</v>
      </c>
      <c r="N694" t="s">
        <v>24</v>
      </c>
      <c r="O694" t="s">
        <v>25</v>
      </c>
      <c r="Q694" s="1">
        <v>43852</v>
      </c>
    </row>
    <row r="695" spans="1:17" x14ac:dyDescent="0.5">
      <c r="A695" t="s">
        <v>29</v>
      </c>
      <c r="B695">
        <v>41047870</v>
      </c>
      <c r="C695" t="s">
        <v>19</v>
      </c>
      <c r="D695" s="1">
        <v>43651</v>
      </c>
      <c r="E695" s="1">
        <v>44016</v>
      </c>
      <c r="F695" t="s">
        <v>37</v>
      </c>
      <c r="G695">
        <v>2</v>
      </c>
      <c r="H695" t="s">
        <v>27</v>
      </c>
      <c r="I695" t="s">
        <v>22</v>
      </c>
      <c r="J695" t="s">
        <v>37</v>
      </c>
      <c r="K695" t="s">
        <v>28</v>
      </c>
      <c r="L695">
        <v>72675</v>
      </c>
      <c r="M695" s="1">
        <v>43651</v>
      </c>
      <c r="N695" t="s">
        <v>24</v>
      </c>
      <c r="O695" t="s">
        <v>25</v>
      </c>
      <c r="Q695" s="1">
        <v>43852</v>
      </c>
    </row>
    <row r="696" spans="1:17" x14ac:dyDescent="0.5">
      <c r="A696" t="s">
        <v>34</v>
      </c>
      <c r="B696" t="s">
        <v>475</v>
      </c>
      <c r="C696" t="s">
        <v>31</v>
      </c>
      <c r="D696" s="1">
        <v>43191</v>
      </c>
      <c r="E696" s="1">
        <v>43555</v>
      </c>
      <c r="F696" t="s">
        <v>20</v>
      </c>
      <c r="G696">
        <v>6</v>
      </c>
      <c r="H696" t="s">
        <v>104</v>
      </c>
      <c r="I696" t="s">
        <v>22</v>
      </c>
      <c r="J696" t="s">
        <v>20</v>
      </c>
      <c r="K696" t="s">
        <v>23</v>
      </c>
      <c r="L696">
        <v>23771.05</v>
      </c>
      <c r="M696" s="1">
        <v>43191</v>
      </c>
      <c r="N696" t="s">
        <v>24</v>
      </c>
      <c r="O696" t="s">
        <v>25</v>
      </c>
      <c r="Q696" s="1">
        <v>43852</v>
      </c>
    </row>
    <row r="697" spans="1:17" x14ac:dyDescent="0.5">
      <c r="A697" t="s">
        <v>35</v>
      </c>
      <c r="B697" t="s">
        <v>476</v>
      </c>
      <c r="C697" t="s">
        <v>19</v>
      </c>
      <c r="D697" s="1">
        <v>43556</v>
      </c>
      <c r="E697" s="1">
        <v>43921</v>
      </c>
      <c r="F697" t="s">
        <v>20</v>
      </c>
      <c r="G697">
        <v>6</v>
      </c>
      <c r="H697" t="s">
        <v>104</v>
      </c>
      <c r="I697" t="s">
        <v>22</v>
      </c>
      <c r="J697" t="s">
        <v>20</v>
      </c>
      <c r="K697" t="s">
        <v>23</v>
      </c>
      <c r="L697">
        <v>21399.439999999999</v>
      </c>
      <c r="M697" s="1">
        <v>43616</v>
      </c>
      <c r="N697" t="s">
        <v>24</v>
      </c>
      <c r="O697" t="s">
        <v>23</v>
      </c>
      <c r="Q697" s="1">
        <v>43852</v>
      </c>
    </row>
    <row r="698" spans="1:17" x14ac:dyDescent="0.5">
      <c r="A698" t="s">
        <v>38</v>
      </c>
      <c r="B698">
        <v>22364363</v>
      </c>
      <c r="C698" t="s">
        <v>19</v>
      </c>
      <c r="D698" s="1">
        <v>43405</v>
      </c>
      <c r="E698" s="1">
        <v>43769</v>
      </c>
      <c r="F698" t="s">
        <v>20</v>
      </c>
      <c r="G698">
        <v>1</v>
      </c>
      <c r="H698" t="s">
        <v>21</v>
      </c>
      <c r="I698" t="s">
        <v>22</v>
      </c>
      <c r="J698" t="s">
        <v>477</v>
      </c>
      <c r="K698" t="s">
        <v>23</v>
      </c>
      <c r="L698">
        <v>23100.17</v>
      </c>
      <c r="M698" s="1">
        <v>43769</v>
      </c>
      <c r="N698" t="s">
        <v>24</v>
      </c>
      <c r="O698" t="s">
        <v>25</v>
      </c>
      <c r="Q698" s="1">
        <v>43852</v>
      </c>
    </row>
    <row r="699" spans="1:17" x14ac:dyDescent="0.5">
      <c r="A699" t="s">
        <v>43</v>
      </c>
      <c r="B699">
        <v>22387698</v>
      </c>
      <c r="C699" t="s">
        <v>19</v>
      </c>
      <c r="D699" s="1">
        <v>43458</v>
      </c>
      <c r="E699" s="1">
        <v>43822</v>
      </c>
      <c r="F699" t="s">
        <v>20</v>
      </c>
      <c r="G699">
        <v>1</v>
      </c>
      <c r="H699" t="s">
        <v>21</v>
      </c>
      <c r="I699" t="s">
        <v>22</v>
      </c>
      <c r="J699" t="s">
        <v>20</v>
      </c>
      <c r="K699" t="s">
        <v>23</v>
      </c>
      <c r="L699">
        <v>1113.92</v>
      </c>
      <c r="M699" s="1">
        <v>43458</v>
      </c>
      <c r="N699" t="s">
        <v>24</v>
      </c>
      <c r="O699" t="s">
        <v>25</v>
      </c>
      <c r="Q699" s="1">
        <v>43852</v>
      </c>
    </row>
    <row r="700" spans="1:17" x14ac:dyDescent="0.5">
      <c r="A700" t="s">
        <v>46</v>
      </c>
      <c r="B700">
        <v>9.9000036180199997E+19</v>
      </c>
      <c r="C700" t="s">
        <v>19</v>
      </c>
      <c r="D700" s="1">
        <v>43349</v>
      </c>
      <c r="E700" s="1">
        <v>43713</v>
      </c>
      <c r="F700" t="s">
        <v>37</v>
      </c>
      <c r="G700">
        <v>13</v>
      </c>
      <c r="H700" t="s">
        <v>212</v>
      </c>
      <c r="I700" t="s">
        <v>22</v>
      </c>
      <c r="J700" t="s">
        <v>37</v>
      </c>
      <c r="K700" t="s">
        <v>66</v>
      </c>
      <c r="L700">
        <v>65000</v>
      </c>
      <c r="M700" s="1">
        <v>43349</v>
      </c>
      <c r="N700" t="s">
        <v>24</v>
      </c>
      <c r="O700" t="s">
        <v>25</v>
      </c>
      <c r="Q700" s="1">
        <v>43852</v>
      </c>
    </row>
    <row r="701" spans="1:17" x14ac:dyDescent="0.5">
      <c r="A701" t="s">
        <v>48</v>
      </c>
      <c r="B701">
        <v>32117648</v>
      </c>
      <c r="C701" t="s">
        <v>19</v>
      </c>
      <c r="D701" s="1">
        <v>43522</v>
      </c>
      <c r="E701" s="1">
        <v>43886</v>
      </c>
      <c r="F701" t="s">
        <v>202</v>
      </c>
      <c r="G701">
        <v>13</v>
      </c>
      <c r="H701" t="s">
        <v>212</v>
      </c>
      <c r="I701" t="s">
        <v>22</v>
      </c>
      <c r="J701" t="s">
        <v>33</v>
      </c>
      <c r="K701" t="s">
        <v>66</v>
      </c>
      <c r="L701">
        <v>2077.5</v>
      </c>
      <c r="M701" s="1">
        <v>43522</v>
      </c>
      <c r="N701" t="s">
        <v>24</v>
      </c>
      <c r="O701" t="s">
        <v>25</v>
      </c>
      <c r="Q701" s="1">
        <v>43852</v>
      </c>
    </row>
    <row r="702" spans="1:17" x14ac:dyDescent="0.5">
      <c r="A702" t="s">
        <v>49</v>
      </c>
      <c r="B702">
        <v>43152633</v>
      </c>
      <c r="C702" t="s">
        <v>31</v>
      </c>
      <c r="D702" s="1">
        <v>43049</v>
      </c>
      <c r="E702" s="1">
        <v>43229</v>
      </c>
      <c r="F702" t="s">
        <v>36</v>
      </c>
      <c r="G702">
        <v>13</v>
      </c>
      <c r="H702" t="s">
        <v>212</v>
      </c>
      <c r="I702" t="s">
        <v>22</v>
      </c>
      <c r="J702" t="s">
        <v>37</v>
      </c>
      <c r="K702" t="s">
        <v>66</v>
      </c>
      <c r="L702">
        <v>1566.2</v>
      </c>
      <c r="M702" s="1">
        <v>43049</v>
      </c>
      <c r="N702" t="s">
        <v>24</v>
      </c>
      <c r="O702" t="s">
        <v>252</v>
      </c>
      <c r="P702" t="s">
        <v>355</v>
      </c>
      <c r="Q702" s="1">
        <v>43852</v>
      </c>
    </row>
    <row r="703" spans="1:17" x14ac:dyDescent="0.5">
      <c r="A703" t="s">
        <v>51</v>
      </c>
      <c r="B703">
        <v>43167538</v>
      </c>
      <c r="C703" t="s">
        <v>31</v>
      </c>
      <c r="D703" s="1">
        <v>43266</v>
      </c>
      <c r="E703" s="1">
        <v>43295</v>
      </c>
      <c r="F703" t="s">
        <v>36</v>
      </c>
      <c r="G703">
        <v>13</v>
      </c>
      <c r="H703" t="s">
        <v>212</v>
      </c>
      <c r="I703" t="s">
        <v>22</v>
      </c>
      <c r="J703" t="s">
        <v>37</v>
      </c>
      <c r="K703" t="s">
        <v>66</v>
      </c>
      <c r="L703">
        <v>639.25</v>
      </c>
      <c r="M703" s="1">
        <v>43266</v>
      </c>
      <c r="N703" t="s">
        <v>24</v>
      </c>
      <c r="O703" t="s">
        <v>252</v>
      </c>
      <c r="P703" t="s">
        <v>355</v>
      </c>
      <c r="Q703" s="1">
        <v>43852</v>
      </c>
    </row>
    <row r="704" spans="1:17" x14ac:dyDescent="0.5">
      <c r="A704" t="s">
        <v>53</v>
      </c>
      <c r="B704">
        <v>43167694</v>
      </c>
      <c r="C704" t="s">
        <v>31</v>
      </c>
      <c r="D704" s="1">
        <v>43257</v>
      </c>
      <c r="E704" s="1">
        <v>43621</v>
      </c>
      <c r="F704" t="s">
        <v>36</v>
      </c>
      <c r="G704">
        <v>13</v>
      </c>
      <c r="H704" t="s">
        <v>212</v>
      </c>
      <c r="I704" t="s">
        <v>22</v>
      </c>
      <c r="J704" t="s">
        <v>37</v>
      </c>
      <c r="K704" t="s">
        <v>66</v>
      </c>
      <c r="L704">
        <v>1180.8800000000001</v>
      </c>
      <c r="M704" s="1">
        <v>43257</v>
      </c>
      <c r="N704" t="s">
        <v>24</v>
      </c>
      <c r="O704" t="s">
        <v>252</v>
      </c>
      <c r="P704" t="s">
        <v>355</v>
      </c>
      <c r="Q704" s="1">
        <v>43852</v>
      </c>
    </row>
    <row r="705" spans="1:17" x14ac:dyDescent="0.5">
      <c r="A705" t="s">
        <v>55</v>
      </c>
      <c r="B705">
        <v>43191701</v>
      </c>
      <c r="C705" t="s">
        <v>19</v>
      </c>
      <c r="D705" s="1">
        <v>43648</v>
      </c>
      <c r="E705" s="1">
        <v>43831</v>
      </c>
      <c r="F705" t="s">
        <v>36</v>
      </c>
      <c r="G705">
        <v>13</v>
      </c>
      <c r="H705" t="s">
        <v>212</v>
      </c>
      <c r="I705" t="s">
        <v>22</v>
      </c>
      <c r="J705" t="s">
        <v>37</v>
      </c>
      <c r="K705" t="s">
        <v>66</v>
      </c>
      <c r="L705">
        <v>1558.76</v>
      </c>
      <c r="M705" s="1">
        <v>43648</v>
      </c>
      <c r="N705" t="s">
        <v>24</v>
      </c>
      <c r="O705" t="s">
        <v>25</v>
      </c>
      <c r="Q705" s="1">
        <v>43852</v>
      </c>
    </row>
    <row r="706" spans="1:17" x14ac:dyDescent="0.5">
      <c r="A706" t="s">
        <v>56</v>
      </c>
      <c r="B706">
        <v>9.9000036180199997E+19</v>
      </c>
      <c r="C706" t="s">
        <v>19</v>
      </c>
      <c r="D706" s="1">
        <v>43349</v>
      </c>
      <c r="E706" s="1">
        <v>45356</v>
      </c>
      <c r="F706" t="s">
        <v>37</v>
      </c>
      <c r="G706">
        <v>13</v>
      </c>
      <c r="H706" t="s">
        <v>212</v>
      </c>
      <c r="I706" t="s">
        <v>22</v>
      </c>
      <c r="J706" t="s">
        <v>37</v>
      </c>
      <c r="K706" t="s">
        <v>66</v>
      </c>
      <c r="L706">
        <v>59375</v>
      </c>
      <c r="M706" s="1">
        <v>43349</v>
      </c>
      <c r="N706" t="s">
        <v>24</v>
      </c>
      <c r="O706" t="s">
        <v>25</v>
      </c>
      <c r="Q706" s="1">
        <v>43852</v>
      </c>
    </row>
    <row r="707" spans="1:17" x14ac:dyDescent="0.5">
      <c r="A707" t="s">
        <v>58</v>
      </c>
      <c r="B707">
        <v>9.9000044160300007E+19</v>
      </c>
      <c r="C707" t="s">
        <v>31</v>
      </c>
      <c r="D707" s="1">
        <v>42744</v>
      </c>
      <c r="E707" s="1">
        <v>43198</v>
      </c>
      <c r="F707" t="s">
        <v>202</v>
      </c>
      <c r="G707">
        <v>13</v>
      </c>
      <c r="H707" t="s">
        <v>212</v>
      </c>
      <c r="I707" t="s">
        <v>22</v>
      </c>
      <c r="J707" t="s">
        <v>33</v>
      </c>
      <c r="K707" t="s">
        <v>66</v>
      </c>
      <c r="L707">
        <v>56150.75</v>
      </c>
      <c r="M707" s="1">
        <v>42744</v>
      </c>
      <c r="N707" t="s">
        <v>24</v>
      </c>
      <c r="O707" t="s">
        <v>252</v>
      </c>
      <c r="P707" t="s">
        <v>355</v>
      </c>
      <c r="Q707" s="1">
        <v>43852</v>
      </c>
    </row>
    <row r="708" spans="1:17" x14ac:dyDescent="0.5">
      <c r="A708" t="s">
        <v>62</v>
      </c>
      <c r="B708">
        <v>9.9000044170299998E+19</v>
      </c>
      <c r="C708" t="s">
        <v>31</v>
      </c>
      <c r="D708" s="1">
        <v>43049</v>
      </c>
      <c r="E708" s="1">
        <v>43413</v>
      </c>
      <c r="F708" t="s">
        <v>36</v>
      </c>
      <c r="G708">
        <v>13</v>
      </c>
      <c r="H708" t="s">
        <v>212</v>
      </c>
      <c r="I708" t="s">
        <v>22</v>
      </c>
      <c r="J708" t="s">
        <v>33</v>
      </c>
      <c r="K708" t="s">
        <v>66</v>
      </c>
      <c r="L708">
        <v>3132.5</v>
      </c>
      <c r="M708" s="1">
        <v>43049</v>
      </c>
      <c r="N708" t="s">
        <v>24</v>
      </c>
      <c r="O708" t="s">
        <v>252</v>
      </c>
      <c r="P708" t="s">
        <v>355</v>
      </c>
      <c r="Q708" s="1">
        <v>43852</v>
      </c>
    </row>
    <row r="709" spans="1:17" x14ac:dyDescent="0.5">
      <c r="A709" t="s">
        <v>63</v>
      </c>
      <c r="B709">
        <v>9.9000044170299998E+19</v>
      </c>
      <c r="C709" t="s">
        <v>19</v>
      </c>
      <c r="D709" s="1">
        <v>43049</v>
      </c>
      <c r="E709" s="1">
        <v>43778</v>
      </c>
      <c r="F709" t="s">
        <v>202</v>
      </c>
      <c r="G709">
        <v>13</v>
      </c>
      <c r="H709" t="s">
        <v>212</v>
      </c>
      <c r="I709" t="s">
        <v>22</v>
      </c>
      <c r="J709" t="s">
        <v>33</v>
      </c>
      <c r="K709" t="s">
        <v>66</v>
      </c>
      <c r="L709">
        <v>30978.63</v>
      </c>
      <c r="M709" s="1">
        <v>43049</v>
      </c>
      <c r="N709" t="s">
        <v>24</v>
      </c>
      <c r="O709" t="s">
        <v>25</v>
      </c>
      <c r="Q709" s="1">
        <v>43852</v>
      </c>
    </row>
    <row r="710" spans="1:17" x14ac:dyDescent="0.5">
      <c r="A710" t="s">
        <v>67</v>
      </c>
      <c r="B710">
        <v>9.9000044170299998E+19</v>
      </c>
      <c r="C710" t="s">
        <v>19</v>
      </c>
      <c r="D710" s="1">
        <v>43133</v>
      </c>
      <c r="E710" s="1">
        <v>43862</v>
      </c>
      <c r="F710" t="s">
        <v>202</v>
      </c>
      <c r="G710">
        <v>13</v>
      </c>
      <c r="H710" t="s">
        <v>212</v>
      </c>
      <c r="I710" t="s">
        <v>22</v>
      </c>
      <c r="J710" t="s">
        <v>37</v>
      </c>
      <c r="K710" t="s">
        <v>66</v>
      </c>
      <c r="L710">
        <v>17934.88</v>
      </c>
      <c r="M710" s="1">
        <v>43133</v>
      </c>
      <c r="N710" t="s">
        <v>24</v>
      </c>
      <c r="O710" t="s">
        <v>25</v>
      </c>
      <c r="Q710" s="1">
        <v>43852</v>
      </c>
    </row>
    <row r="711" spans="1:17" x14ac:dyDescent="0.5">
      <c r="A711" t="s">
        <v>69</v>
      </c>
      <c r="B711">
        <v>9.9000044170299998E+19</v>
      </c>
      <c r="C711" t="s">
        <v>19</v>
      </c>
      <c r="D711" s="1">
        <v>43152</v>
      </c>
      <c r="E711" s="1">
        <v>43881</v>
      </c>
      <c r="F711" t="s">
        <v>202</v>
      </c>
      <c r="G711">
        <v>13</v>
      </c>
      <c r="H711" t="s">
        <v>212</v>
      </c>
      <c r="I711" t="s">
        <v>22</v>
      </c>
      <c r="J711" t="s">
        <v>33</v>
      </c>
      <c r="K711" t="s">
        <v>66</v>
      </c>
      <c r="L711">
        <v>15668.25</v>
      </c>
      <c r="M711" s="1">
        <v>43152</v>
      </c>
      <c r="N711" t="s">
        <v>24</v>
      </c>
      <c r="O711" t="s">
        <v>25</v>
      </c>
      <c r="Q711" s="1">
        <v>43852</v>
      </c>
    </row>
    <row r="712" spans="1:17" x14ac:dyDescent="0.5">
      <c r="A712" t="s">
        <v>71</v>
      </c>
      <c r="B712">
        <v>9.9000044180300005E+19</v>
      </c>
      <c r="C712" t="s">
        <v>19</v>
      </c>
      <c r="D712" s="1">
        <v>43199</v>
      </c>
      <c r="E712" s="1">
        <v>43654</v>
      </c>
      <c r="F712" t="s">
        <v>202</v>
      </c>
      <c r="G712">
        <v>13</v>
      </c>
      <c r="H712" t="s">
        <v>212</v>
      </c>
      <c r="I712" t="s">
        <v>22</v>
      </c>
      <c r="J712" t="s">
        <v>33</v>
      </c>
      <c r="K712" t="s">
        <v>66</v>
      </c>
      <c r="L712">
        <v>11239.38</v>
      </c>
      <c r="M712" s="1">
        <v>43199</v>
      </c>
      <c r="N712" t="s">
        <v>24</v>
      </c>
      <c r="O712" t="s">
        <v>25</v>
      </c>
      <c r="Q712" s="1">
        <v>43852</v>
      </c>
    </row>
    <row r="713" spans="1:17" x14ac:dyDescent="0.5">
      <c r="A713" t="s">
        <v>72</v>
      </c>
      <c r="B713">
        <v>9.9000044180300005E+19</v>
      </c>
      <c r="C713" t="s">
        <v>31</v>
      </c>
      <c r="D713" s="1">
        <v>43290</v>
      </c>
      <c r="E713" s="1">
        <v>43381</v>
      </c>
      <c r="F713" t="s">
        <v>202</v>
      </c>
      <c r="G713">
        <v>13</v>
      </c>
      <c r="H713" t="s">
        <v>212</v>
      </c>
      <c r="I713" t="s">
        <v>22</v>
      </c>
      <c r="J713" t="s">
        <v>33</v>
      </c>
      <c r="K713" t="s">
        <v>23</v>
      </c>
      <c r="L713">
        <v>11239.38</v>
      </c>
      <c r="M713" s="1">
        <v>43290</v>
      </c>
      <c r="N713" t="s">
        <v>24</v>
      </c>
      <c r="O713" t="s">
        <v>252</v>
      </c>
      <c r="P713" t="s">
        <v>355</v>
      </c>
      <c r="Q713" s="1">
        <v>43852</v>
      </c>
    </row>
    <row r="714" spans="1:17" x14ac:dyDescent="0.5">
      <c r="A714" t="s">
        <v>74</v>
      </c>
      <c r="B714">
        <v>9.9000044180300005E+19</v>
      </c>
      <c r="C714" t="s">
        <v>19</v>
      </c>
      <c r="D714" s="1">
        <v>43322</v>
      </c>
      <c r="E714" s="1">
        <v>43870</v>
      </c>
      <c r="F714" t="s">
        <v>202</v>
      </c>
      <c r="G714">
        <v>13</v>
      </c>
      <c r="H714" t="s">
        <v>212</v>
      </c>
      <c r="I714" t="s">
        <v>22</v>
      </c>
      <c r="J714" t="s">
        <v>33</v>
      </c>
      <c r="K714" t="s">
        <v>66</v>
      </c>
      <c r="L714">
        <v>21442.38</v>
      </c>
      <c r="M714" s="1">
        <v>43758</v>
      </c>
      <c r="N714" t="s">
        <v>24</v>
      </c>
      <c r="O714" t="s">
        <v>25</v>
      </c>
      <c r="Q714" s="1">
        <v>43852</v>
      </c>
    </row>
    <row r="715" spans="1:17" x14ac:dyDescent="0.5">
      <c r="A715" t="s">
        <v>76</v>
      </c>
      <c r="B715">
        <v>9.9000044180300005E+19</v>
      </c>
      <c r="C715" t="s">
        <v>19</v>
      </c>
      <c r="D715" s="1">
        <v>43322</v>
      </c>
      <c r="E715" s="1">
        <v>43870</v>
      </c>
      <c r="F715" t="s">
        <v>202</v>
      </c>
      <c r="G715">
        <v>13</v>
      </c>
      <c r="H715" t="s">
        <v>212</v>
      </c>
      <c r="I715" t="s">
        <v>22</v>
      </c>
      <c r="J715" t="s">
        <v>33</v>
      </c>
      <c r="K715" t="s">
        <v>66</v>
      </c>
      <c r="L715">
        <v>21442.75</v>
      </c>
      <c r="M715" s="1">
        <v>43431</v>
      </c>
      <c r="N715" t="s">
        <v>24</v>
      </c>
      <c r="O715" t="s">
        <v>25</v>
      </c>
      <c r="Q715" s="1">
        <v>43852</v>
      </c>
    </row>
    <row r="716" spans="1:17" x14ac:dyDescent="0.5">
      <c r="A716" t="s">
        <v>78</v>
      </c>
      <c r="B716">
        <v>9.9000044180300005E+19</v>
      </c>
      <c r="C716" t="s">
        <v>19</v>
      </c>
      <c r="D716" s="1">
        <v>43322</v>
      </c>
      <c r="E716" s="1">
        <v>43870</v>
      </c>
      <c r="F716" t="s">
        <v>202</v>
      </c>
      <c r="G716">
        <v>13</v>
      </c>
      <c r="H716" t="s">
        <v>212</v>
      </c>
      <c r="I716" t="s">
        <v>22</v>
      </c>
      <c r="J716" t="s">
        <v>33</v>
      </c>
      <c r="K716" t="s">
        <v>66</v>
      </c>
      <c r="L716">
        <v>21442.75</v>
      </c>
      <c r="M716" s="1">
        <v>43540</v>
      </c>
      <c r="N716" t="s">
        <v>24</v>
      </c>
      <c r="O716" t="s">
        <v>25</v>
      </c>
      <c r="Q716" s="1">
        <v>43852</v>
      </c>
    </row>
    <row r="717" spans="1:17" x14ac:dyDescent="0.5">
      <c r="A717" t="s">
        <v>79</v>
      </c>
      <c r="B717">
        <v>9.9000044180300005E+19</v>
      </c>
      <c r="C717" t="s">
        <v>19</v>
      </c>
      <c r="D717" s="1">
        <v>43322</v>
      </c>
      <c r="E717" s="1">
        <v>43870</v>
      </c>
      <c r="F717" t="s">
        <v>202</v>
      </c>
      <c r="G717">
        <v>13</v>
      </c>
      <c r="H717" t="s">
        <v>212</v>
      </c>
      <c r="I717" t="s">
        <v>22</v>
      </c>
      <c r="J717" t="s">
        <v>33</v>
      </c>
      <c r="K717" t="s">
        <v>66</v>
      </c>
      <c r="L717">
        <v>21442.75</v>
      </c>
      <c r="M717" s="1">
        <v>43649</v>
      </c>
      <c r="N717" t="s">
        <v>24</v>
      </c>
      <c r="O717" t="s">
        <v>25</v>
      </c>
      <c r="Q717" s="1">
        <v>43852</v>
      </c>
    </row>
    <row r="718" spans="1:17" x14ac:dyDescent="0.5">
      <c r="A718" t="s">
        <v>80</v>
      </c>
      <c r="B718">
        <v>9.9000044180300005E+19</v>
      </c>
      <c r="C718" t="s">
        <v>19</v>
      </c>
      <c r="D718" s="1">
        <v>43322</v>
      </c>
      <c r="E718" s="1">
        <v>43870</v>
      </c>
      <c r="F718" t="s">
        <v>202</v>
      </c>
      <c r="G718">
        <v>13</v>
      </c>
      <c r="H718" t="s">
        <v>212</v>
      </c>
      <c r="I718" t="s">
        <v>22</v>
      </c>
      <c r="J718" t="s">
        <v>33</v>
      </c>
      <c r="K718" t="s">
        <v>66</v>
      </c>
      <c r="L718">
        <v>27085.5</v>
      </c>
      <c r="M718" s="1">
        <v>43322</v>
      </c>
      <c r="N718" t="s">
        <v>24</v>
      </c>
      <c r="O718" t="s">
        <v>25</v>
      </c>
      <c r="Q718" s="1">
        <v>43852</v>
      </c>
    </row>
    <row r="719" spans="1:17" x14ac:dyDescent="0.5">
      <c r="A719" t="s">
        <v>81</v>
      </c>
      <c r="B719">
        <v>9.9000044180300005E+19</v>
      </c>
      <c r="C719" t="s">
        <v>19</v>
      </c>
      <c r="D719" s="1">
        <v>43322</v>
      </c>
      <c r="E719" s="1">
        <v>43870</v>
      </c>
      <c r="F719" t="s">
        <v>202</v>
      </c>
      <c r="G719">
        <v>13</v>
      </c>
      <c r="H719" t="s">
        <v>212</v>
      </c>
      <c r="I719" t="s">
        <v>22</v>
      </c>
      <c r="J719" t="s">
        <v>33</v>
      </c>
      <c r="K719" t="s">
        <v>66</v>
      </c>
      <c r="L719">
        <v>17949.04</v>
      </c>
      <c r="M719" s="1">
        <v>43431</v>
      </c>
      <c r="N719" t="s">
        <v>24</v>
      </c>
      <c r="O719" t="s">
        <v>25</v>
      </c>
      <c r="Q719" s="1">
        <v>43852</v>
      </c>
    </row>
    <row r="720" spans="1:17" x14ac:dyDescent="0.5">
      <c r="A720" t="s">
        <v>84</v>
      </c>
      <c r="B720">
        <v>9.9000044180300005E+19</v>
      </c>
      <c r="C720" t="s">
        <v>19</v>
      </c>
      <c r="D720" s="1">
        <v>43322</v>
      </c>
      <c r="E720" s="1">
        <v>43870</v>
      </c>
      <c r="F720" t="s">
        <v>202</v>
      </c>
      <c r="G720">
        <v>13</v>
      </c>
      <c r="H720" t="s">
        <v>212</v>
      </c>
      <c r="I720" t="s">
        <v>22</v>
      </c>
      <c r="J720" t="s">
        <v>33</v>
      </c>
      <c r="K720" t="s">
        <v>66</v>
      </c>
      <c r="L720">
        <v>17949.04</v>
      </c>
      <c r="M720" s="1">
        <v>43540</v>
      </c>
      <c r="N720" t="s">
        <v>24</v>
      </c>
      <c r="O720" t="s">
        <v>25</v>
      </c>
      <c r="Q720" s="1">
        <v>43852</v>
      </c>
    </row>
    <row r="721" spans="1:17" x14ac:dyDescent="0.5">
      <c r="A721" t="s">
        <v>86</v>
      </c>
      <c r="B721">
        <v>9.9000044180300005E+19</v>
      </c>
      <c r="C721" t="s">
        <v>19</v>
      </c>
      <c r="D721" s="1">
        <v>43322</v>
      </c>
      <c r="E721" s="1">
        <v>43870</v>
      </c>
      <c r="F721" t="s">
        <v>202</v>
      </c>
      <c r="G721">
        <v>13</v>
      </c>
      <c r="H721" t="s">
        <v>212</v>
      </c>
      <c r="I721" t="s">
        <v>22</v>
      </c>
      <c r="J721" t="s">
        <v>33</v>
      </c>
      <c r="K721" t="s">
        <v>66</v>
      </c>
      <c r="L721">
        <v>17949.04</v>
      </c>
      <c r="M721" s="1">
        <v>43649</v>
      </c>
      <c r="N721" t="s">
        <v>24</v>
      </c>
      <c r="O721" t="s">
        <v>25</v>
      </c>
      <c r="Q721" s="1">
        <v>43852</v>
      </c>
    </row>
    <row r="722" spans="1:17" x14ac:dyDescent="0.5">
      <c r="A722" t="s">
        <v>87</v>
      </c>
      <c r="B722">
        <v>9.9000044180300005E+19</v>
      </c>
      <c r="C722" t="s">
        <v>19</v>
      </c>
      <c r="D722" s="1">
        <v>43322</v>
      </c>
      <c r="E722" s="1">
        <v>43870</v>
      </c>
      <c r="F722" t="s">
        <v>202</v>
      </c>
      <c r="G722">
        <v>13</v>
      </c>
      <c r="H722" t="s">
        <v>212</v>
      </c>
      <c r="I722" t="s">
        <v>22</v>
      </c>
      <c r="J722" t="s">
        <v>33</v>
      </c>
      <c r="K722" t="s">
        <v>66</v>
      </c>
      <c r="L722">
        <v>17949.04</v>
      </c>
      <c r="M722" s="1">
        <v>43758</v>
      </c>
      <c r="N722" t="s">
        <v>24</v>
      </c>
      <c r="O722" t="s">
        <v>25</v>
      </c>
      <c r="Q722" s="1">
        <v>43852</v>
      </c>
    </row>
    <row r="723" spans="1:17" x14ac:dyDescent="0.5">
      <c r="A723" t="s">
        <v>88</v>
      </c>
      <c r="B723">
        <v>9.9000044180300005E+19</v>
      </c>
      <c r="C723" t="s">
        <v>19</v>
      </c>
      <c r="D723" s="1">
        <v>43322</v>
      </c>
      <c r="E723" s="1">
        <v>43870</v>
      </c>
      <c r="F723" t="s">
        <v>202</v>
      </c>
      <c r="G723">
        <v>13</v>
      </c>
      <c r="H723" t="s">
        <v>212</v>
      </c>
      <c r="I723" t="s">
        <v>22</v>
      </c>
      <c r="J723" t="s">
        <v>33</v>
      </c>
      <c r="K723" t="s">
        <v>66</v>
      </c>
      <c r="L723">
        <v>22672.47</v>
      </c>
      <c r="M723" s="1">
        <v>43322</v>
      </c>
      <c r="N723" t="s">
        <v>24</v>
      </c>
      <c r="O723" t="s">
        <v>25</v>
      </c>
      <c r="Q723" s="1">
        <v>43852</v>
      </c>
    </row>
    <row r="724" spans="1:17" x14ac:dyDescent="0.5">
      <c r="A724" t="s">
        <v>90</v>
      </c>
      <c r="B724">
        <v>9.9000044180300005E+19</v>
      </c>
      <c r="C724" t="s">
        <v>19</v>
      </c>
      <c r="D724" s="1">
        <v>43382</v>
      </c>
      <c r="E724" s="1">
        <v>43746</v>
      </c>
      <c r="F724" t="s">
        <v>202</v>
      </c>
      <c r="G724">
        <v>13</v>
      </c>
      <c r="H724" t="s">
        <v>212</v>
      </c>
      <c r="I724" t="s">
        <v>22</v>
      </c>
      <c r="J724" t="s">
        <v>33</v>
      </c>
      <c r="K724" t="s">
        <v>66</v>
      </c>
      <c r="L724">
        <v>11239.38</v>
      </c>
      <c r="M724" s="1">
        <v>43382</v>
      </c>
      <c r="N724" t="s">
        <v>24</v>
      </c>
      <c r="O724" t="s">
        <v>25</v>
      </c>
      <c r="Q724" s="1">
        <v>43852</v>
      </c>
    </row>
    <row r="725" spans="1:17" x14ac:dyDescent="0.5">
      <c r="A725" t="s">
        <v>92</v>
      </c>
      <c r="B725">
        <v>9.9000044190300006E+17</v>
      </c>
      <c r="C725" t="s">
        <v>19</v>
      </c>
      <c r="D725" s="1">
        <v>43565</v>
      </c>
      <c r="E725" s="1">
        <v>43625</v>
      </c>
      <c r="F725" t="s">
        <v>202</v>
      </c>
      <c r="G725">
        <v>13</v>
      </c>
      <c r="H725" t="s">
        <v>212</v>
      </c>
      <c r="I725" t="s">
        <v>22</v>
      </c>
      <c r="J725" t="s">
        <v>33</v>
      </c>
      <c r="K725" t="s">
        <v>66</v>
      </c>
      <c r="L725">
        <v>2212.38</v>
      </c>
      <c r="M725" s="1">
        <v>43565</v>
      </c>
      <c r="N725" t="s">
        <v>24</v>
      </c>
      <c r="O725" t="s">
        <v>25</v>
      </c>
      <c r="Q725" s="1">
        <v>43852</v>
      </c>
    </row>
    <row r="726" spans="1:17" x14ac:dyDescent="0.5">
      <c r="A726" t="s">
        <v>94</v>
      </c>
      <c r="B726" t="s">
        <v>478</v>
      </c>
      <c r="C726" t="s">
        <v>31</v>
      </c>
      <c r="D726" s="1">
        <v>43291</v>
      </c>
      <c r="E726" s="1">
        <v>43382</v>
      </c>
      <c r="F726" t="s">
        <v>36</v>
      </c>
      <c r="G726">
        <v>13</v>
      </c>
      <c r="H726" t="s">
        <v>212</v>
      </c>
      <c r="I726" t="s">
        <v>22</v>
      </c>
      <c r="J726" t="s">
        <v>37</v>
      </c>
      <c r="K726" t="s">
        <v>66</v>
      </c>
      <c r="L726">
        <v>1363</v>
      </c>
      <c r="M726" s="1">
        <v>43291</v>
      </c>
      <c r="N726" t="s">
        <v>24</v>
      </c>
      <c r="O726" t="s">
        <v>252</v>
      </c>
      <c r="P726" t="s">
        <v>355</v>
      </c>
      <c r="Q726" s="1">
        <v>43852</v>
      </c>
    </row>
    <row r="727" spans="1:17" x14ac:dyDescent="0.5">
      <c r="A727" t="s">
        <v>96</v>
      </c>
      <c r="B727" t="s">
        <v>479</v>
      </c>
      <c r="C727" t="s">
        <v>19</v>
      </c>
      <c r="D727" s="1">
        <v>43549</v>
      </c>
      <c r="E727" s="1">
        <v>43914</v>
      </c>
      <c r="F727" t="s">
        <v>380</v>
      </c>
      <c r="G727">
        <v>13</v>
      </c>
      <c r="H727" t="s">
        <v>212</v>
      </c>
      <c r="I727" t="s">
        <v>22</v>
      </c>
      <c r="J727" t="s">
        <v>380</v>
      </c>
      <c r="K727" t="s">
        <v>66</v>
      </c>
      <c r="L727">
        <v>157.5</v>
      </c>
      <c r="M727" s="1">
        <v>43549</v>
      </c>
      <c r="N727" t="s">
        <v>24</v>
      </c>
      <c r="O727" t="s">
        <v>25</v>
      </c>
      <c r="Q727" s="1">
        <v>43852</v>
      </c>
    </row>
    <row r="728" spans="1:17" x14ac:dyDescent="0.5">
      <c r="A728" t="s">
        <v>97</v>
      </c>
      <c r="B728" t="s">
        <v>480</v>
      </c>
      <c r="C728" t="s">
        <v>19</v>
      </c>
      <c r="D728" s="1">
        <v>43553</v>
      </c>
      <c r="E728" s="1">
        <v>43918</v>
      </c>
      <c r="F728" t="s">
        <v>380</v>
      </c>
      <c r="G728">
        <v>13</v>
      </c>
      <c r="H728" t="s">
        <v>212</v>
      </c>
      <c r="I728" t="s">
        <v>22</v>
      </c>
      <c r="J728" t="s">
        <v>380</v>
      </c>
      <c r="K728" t="s">
        <v>66</v>
      </c>
      <c r="L728">
        <v>1749.45</v>
      </c>
      <c r="M728" s="1">
        <v>43553</v>
      </c>
      <c r="N728" t="s">
        <v>24</v>
      </c>
      <c r="O728" t="s">
        <v>25</v>
      </c>
      <c r="Q728" s="1">
        <v>43852</v>
      </c>
    </row>
    <row r="729" spans="1:17" x14ac:dyDescent="0.5">
      <c r="A729" t="s">
        <v>98</v>
      </c>
      <c r="B729" t="s">
        <v>481</v>
      </c>
      <c r="C729" t="s">
        <v>19</v>
      </c>
      <c r="D729" s="1">
        <v>43184</v>
      </c>
      <c r="E729" s="1">
        <v>43548</v>
      </c>
      <c r="F729" t="s">
        <v>37</v>
      </c>
      <c r="G729">
        <v>1</v>
      </c>
      <c r="H729" t="s">
        <v>21</v>
      </c>
      <c r="I729" t="s">
        <v>22</v>
      </c>
      <c r="J729" t="s">
        <v>37</v>
      </c>
      <c r="K729" t="s">
        <v>23</v>
      </c>
      <c r="L729">
        <v>6250</v>
      </c>
      <c r="M729" s="1">
        <v>43184</v>
      </c>
      <c r="N729" t="s">
        <v>24</v>
      </c>
      <c r="O729" t="s">
        <v>25</v>
      </c>
      <c r="Q729" s="1">
        <v>43852</v>
      </c>
    </row>
    <row r="730" spans="1:17" x14ac:dyDescent="0.5">
      <c r="A730" t="s">
        <v>100</v>
      </c>
      <c r="B730" t="s">
        <v>482</v>
      </c>
      <c r="C730" t="s">
        <v>19</v>
      </c>
      <c r="D730" s="1">
        <v>43549</v>
      </c>
      <c r="E730" s="1">
        <v>43914</v>
      </c>
      <c r="F730" t="s">
        <v>37</v>
      </c>
      <c r="G730">
        <v>9</v>
      </c>
      <c r="H730" t="s">
        <v>60</v>
      </c>
      <c r="I730" t="s">
        <v>22</v>
      </c>
      <c r="J730" t="s">
        <v>37</v>
      </c>
      <c r="K730" t="s">
        <v>23</v>
      </c>
      <c r="L730">
        <v>8125</v>
      </c>
      <c r="M730" s="1">
        <v>43549</v>
      </c>
      <c r="N730" t="s">
        <v>24</v>
      </c>
      <c r="O730" t="s">
        <v>25</v>
      </c>
      <c r="Q730" s="1">
        <v>43852</v>
      </c>
    </row>
    <row r="731" spans="1:17" x14ac:dyDescent="0.5">
      <c r="A731" t="s">
        <v>102</v>
      </c>
      <c r="B731">
        <v>2280038722</v>
      </c>
      <c r="C731" t="s">
        <v>19</v>
      </c>
      <c r="D731" s="1">
        <v>43661</v>
      </c>
      <c r="E731" s="1">
        <v>43844</v>
      </c>
      <c r="F731" t="s">
        <v>36</v>
      </c>
      <c r="G731">
        <v>13</v>
      </c>
      <c r="H731" t="s">
        <v>212</v>
      </c>
      <c r="I731" t="s">
        <v>22</v>
      </c>
      <c r="J731" t="s">
        <v>483</v>
      </c>
      <c r="K731" t="s">
        <v>66</v>
      </c>
      <c r="L731">
        <v>2788.75</v>
      </c>
      <c r="M731" s="1">
        <v>43661</v>
      </c>
      <c r="N731" t="s">
        <v>24</v>
      </c>
      <c r="O731" t="s">
        <v>25</v>
      </c>
      <c r="Q731" s="1">
        <v>43852</v>
      </c>
    </row>
    <row r="732" spans="1:17" x14ac:dyDescent="0.5">
      <c r="A732" t="s">
        <v>103</v>
      </c>
      <c r="B732">
        <v>43170791</v>
      </c>
      <c r="C732" t="s">
        <v>19</v>
      </c>
      <c r="D732" s="1">
        <v>43322</v>
      </c>
      <c r="E732" s="1">
        <v>43625</v>
      </c>
      <c r="F732" t="s">
        <v>36</v>
      </c>
      <c r="G732">
        <v>13</v>
      </c>
      <c r="H732" t="s">
        <v>212</v>
      </c>
      <c r="I732" t="s">
        <v>22</v>
      </c>
      <c r="J732" t="s">
        <v>37</v>
      </c>
      <c r="K732" t="s">
        <v>28</v>
      </c>
      <c r="L732">
        <v>7827.77</v>
      </c>
      <c r="M732" s="1">
        <v>43322</v>
      </c>
      <c r="N732" t="s">
        <v>24</v>
      </c>
      <c r="O732" t="s">
        <v>45</v>
      </c>
      <c r="Q732" s="1">
        <v>43852</v>
      </c>
    </row>
    <row r="733" spans="1:17" x14ac:dyDescent="0.5">
      <c r="A733" t="s">
        <v>105</v>
      </c>
      <c r="B733">
        <v>43170791</v>
      </c>
      <c r="C733" t="s">
        <v>19</v>
      </c>
      <c r="D733" s="1">
        <v>43322</v>
      </c>
      <c r="E733" s="1">
        <v>43625</v>
      </c>
      <c r="F733" t="s">
        <v>36</v>
      </c>
      <c r="G733">
        <v>13</v>
      </c>
      <c r="H733" t="s">
        <v>212</v>
      </c>
      <c r="I733" t="s">
        <v>22</v>
      </c>
      <c r="J733" t="s">
        <v>37</v>
      </c>
      <c r="K733" t="s">
        <v>28</v>
      </c>
      <c r="L733">
        <v>0</v>
      </c>
      <c r="M733" s="1">
        <v>43398</v>
      </c>
      <c r="N733" t="s">
        <v>47</v>
      </c>
      <c r="O733" t="s">
        <v>45</v>
      </c>
      <c r="Q733" s="1">
        <v>43852</v>
      </c>
    </row>
    <row r="734" spans="1:17" x14ac:dyDescent="0.5">
      <c r="A734" t="s">
        <v>106</v>
      </c>
      <c r="B734">
        <v>43170791</v>
      </c>
      <c r="C734" t="s">
        <v>19</v>
      </c>
      <c r="D734" s="1">
        <v>43322</v>
      </c>
      <c r="E734" s="1">
        <v>43625</v>
      </c>
      <c r="F734" t="s">
        <v>36</v>
      </c>
      <c r="G734">
        <v>13</v>
      </c>
      <c r="H734" t="s">
        <v>212</v>
      </c>
      <c r="I734" t="s">
        <v>22</v>
      </c>
      <c r="J734" t="s">
        <v>37</v>
      </c>
      <c r="K734" t="s">
        <v>28</v>
      </c>
      <c r="L734">
        <v>4194.8</v>
      </c>
      <c r="M734" s="1">
        <v>43487</v>
      </c>
      <c r="N734" t="s">
        <v>47</v>
      </c>
      <c r="O734" t="s">
        <v>45</v>
      </c>
      <c r="Q734" s="1">
        <v>43852</v>
      </c>
    </row>
    <row r="735" spans="1:17" x14ac:dyDescent="0.5">
      <c r="A735" t="s">
        <v>108</v>
      </c>
      <c r="B735">
        <v>43182398</v>
      </c>
      <c r="C735" t="s">
        <v>31</v>
      </c>
      <c r="D735" s="1">
        <v>43515</v>
      </c>
      <c r="E735" s="1">
        <v>43969</v>
      </c>
      <c r="F735" t="s">
        <v>36</v>
      </c>
      <c r="G735">
        <v>13</v>
      </c>
      <c r="H735" t="s">
        <v>212</v>
      </c>
      <c r="I735" t="s">
        <v>22</v>
      </c>
      <c r="J735" t="s">
        <v>37</v>
      </c>
      <c r="K735" t="s">
        <v>66</v>
      </c>
      <c r="L735">
        <v>1390.13</v>
      </c>
      <c r="M735" s="1">
        <v>43515</v>
      </c>
      <c r="N735" t="s">
        <v>24</v>
      </c>
      <c r="O735" t="s">
        <v>25</v>
      </c>
      <c r="Q735" s="1">
        <v>43852</v>
      </c>
    </row>
    <row r="736" spans="1:17" x14ac:dyDescent="0.5">
      <c r="A736" t="s">
        <v>110</v>
      </c>
      <c r="B736">
        <v>4318239800002</v>
      </c>
      <c r="C736" t="s">
        <v>19</v>
      </c>
      <c r="D736" s="1">
        <v>43969</v>
      </c>
      <c r="E736" s="1">
        <v>44061</v>
      </c>
      <c r="F736" t="s">
        <v>36</v>
      </c>
      <c r="G736">
        <v>13</v>
      </c>
      <c r="H736" t="s">
        <v>212</v>
      </c>
      <c r="I736" t="s">
        <v>22</v>
      </c>
      <c r="J736" t="s">
        <v>37</v>
      </c>
      <c r="K736" t="s">
        <v>66</v>
      </c>
      <c r="L736">
        <v>1390.13</v>
      </c>
      <c r="M736" s="1">
        <v>43969</v>
      </c>
      <c r="N736" t="s">
        <v>24</v>
      </c>
      <c r="O736" t="s">
        <v>23</v>
      </c>
      <c r="Q736" s="1">
        <v>43852</v>
      </c>
    </row>
    <row r="737" spans="1:17" x14ac:dyDescent="0.5">
      <c r="A737" t="s">
        <v>112</v>
      </c>
      <c r="B737">
        <v>43189992</v>
      </c>
      <c r="C737" t="s">
        <v>19</v>
      </c>
      <c r="D737" s="1">
        <v>43626</v>
      </c>
      <c r="E737" s="1">
        <v>43808</v>
      </c>
      <c r="F737" t="s">
        <v>36</v>
      </c>
      <c r="G737">
        <v>13</v>
      </c>
      <c r="H737" t="s">
        <v>212</v>
      </c>
      <c r="I737" t="s">
        <v>22</v>
      </c>
      <c r="J737" t="s">
        <v>37</v>
      </c>
      <c r="K737" t="s">
        <v>66</v>
      </c>
      <c r="L737">
        <v>7835.19</v>
      </c>
      <c r="M737" s="1">
        <v>43626</v>
      </c>
      <c r="N737" t="s">
        <v>24</v>
      </c>
      <c r="O737" t="s">
        <v>25</v>
      </c>
      <c r="Q737" s="1">
        <v>43852</v>
      </c>
    </row>
    <row r="738" spans="1:17" x14ac:dyDescent="0.5">
      <c r="A738" t="s">
        <v>114</v>
      </c>
      <c r="B738">
        <v>43190133</v>
      </c>
      <c r="C738" t="s">
        <v>19</v>
      </c>
      <c r="D738" s="1">
        <v>43627</v>
      </c>
      <c r="E738" s="1">
        <v>43809</v>
      </c>
      <c r="F738" t="s">
        <v>36</v>
      </c>
      <c r="G738">
        <v>13</v>
      </c>
      <c r="H738" t="s">
        <v>212</v>
      </c>
      <c r="I738" t="s">
        <v>22</v>
      </c>
      <c r="J738" t="s">
        <v>37</v>
      </c>
      <c r="K738" t="s">
        <v>66</v>
      </c>
      <c r="L738">
        <v>7782.56</v>
      </c>
      <c r="M738" s="1">
        <v>43627</v>
      </c>
      <c r="N738" t="s">
        <v>24</v>
      </c>
      <c r="O738" t="s">
        <v>25</v>
      </c>
      <c r="Q738" s="1">
        <v>43852</v>
      </c>
    </row>
    <row r="739" spans="1:17" x14ac:dyDescent="0.5">
      <c r="A739" t="s">
        <v>115</v>
      </c>
      <c r="B739">
        <v>43191701</v>
      </c>
      <c r="C739" t="s">
        <v>19</v>
      </c>
      <c r="D739" s="1">
        <v>43648</v>
      </c>
      <c r="E739" s="1">
        <v>44013</v>
      </c>
      <c r="F739" t="s">
        <v>36</v>
      </c>
      <c r="G739">
        <v>13</v>
      </c>
      <c r="H739" t="s">
        <v>212</v>
      </c>
      <c r="I739" t="s">
        <v>22</v>
      </c>
      <c r="J739" t="s">
        <v>37</v>
      </c>
      <c r="L739">
        <v>1558.76</v>
      </c>
      <c r="M739" s="1">
        <v>43648</v>
      </c>
      <c r="N739" t="s">
        <v>24</v>
      </c>
      <c r="O739" t="s">
        <v>25</v>
      </c>
      <c r="Q739" s="1">
        <v>43852</v>
      </c>
    </row>
    <row r="740" spans="1:17" x14ac:dyDescent="0.5">
      <c r="A740" t="s">
        <v>117</v>
      </c>
      <c r="B740">
        <v>9.9000044190299996E+19</v>
      </c>
      <c r="C740" t="s">
        <v>19</v>
      </c>
      <c r="D740" s="1">
        <v>43567</v>
      </c>
      <c r="E740" s="1">
        <v>43749</v>
      </c>
      <c r="F740" t="s">
        <v>202</v>
      </c>
      <c r="G740">
        <v>13</v>
      </c>
      <c r="H740" t="s">
        <v>212</v>
      </c>
      <c r="I740" t="s">
        <v>22</v>
      </c>
      <c r="J740" t="s">
        <v>33</v>
      </c>
      <c r="K740" t="s">
        <v>66</v>
      </c>
      <c r="L740">
        <v>3007.5</v>
      </c>
      <c r="M740" s="1">
        <v>43567</v>
      </c>
      <c r="N740" t="s">
        <v>24</v>
      </c>
      <c r="O740" t="s">
        <v>25</v>
      </c>
      <c r="Q740" s="1">
        <v>43852</v>
      </c>
    </row>
    <row r="741" spans="1:17" x14ac:dyDescent="0.5">
      <c r="A741" t="s">
        <v>119</v>
      </c>
      <c r="B741">
        <v>9.9000044190299996E+19</v>
      </c>
      <c r="C741" t="s">
        <v>19</v>
      </c>
      <c r="D741" s="1">
        <v>43788</v>
      </c>
      <c r="E741" s="1">
        <v>44153</v>
      </c>
      <c r="F741" t="s">
        <v>202</v>
      </c>
      <c r="G741">
        <v>13</v>
      </c>
      <c r="H741" t="s">
        <v>212</v>
      </c>
      <c r="I741" t="s">
        <v>22</v>
      </c>
      <c r="J741" t="s">
        <v>33</v>
      </c>
      <c r="K741" t="s">
        <v>66</v>
      </c>
      <c r="L741">
        <v>26804.5</v>
      </c>
      <c r="M741" s="1">
        <v>43788</v>
      </c>
      <c r="N741" t="s">
        <v>24</v>
      </c>
      <c r="O741" t="s">
        <v>25</v>
      </c>
      <c r="Q741" s="1">
        <v>43852</v>
      </c>
    </row>
    <row r="742" spans="1:17" x14ac:dyDescent="0.5">
      <c r="A742" t="s">
        <v>120</v>
      </c>
      <c r="B742" t="s">
        <v>484</v>
      </c>
      <c r="C742" t="s">
        <v>31</v>
      </c>
      <c r="D742" s="1">
        <v>43191</v>
      </c>
      <c r="E742" s="1">
        <v>43555</v>
      </c>
      <c r="F742" t="s">
        <v>36</v>
      </c>
      <c r="G742">
        <v>3</v>
      </c>
      <c r="H742" t="s">
        <v>64</v>
      </c>
      <c r="I742" t="s">
        <v>22</v>
      </c>
      <c r="J742" t="s">
        <v>65</v>
      </c>
      <c r="K742" t="s">
        <v>23</v>
      </c>
      <c r="L742">
        <v>1771.98</v>
      </c>
      <c r="M742" s="1">
        <v>43191</v>
      </c>
      <c r="N742" t="s">
        <v>24</v>
      </c>
      <c r="O742" t="s">
        <v>25</v>
      </c>
      <c r="Q742" s="1">
        <v>43852</v>
      </c>
    </row>
    <row r="743" spans="1:17" x14ac:dyDescent="0.5">
      <c r="A743" t="s">
        <v>122</v>
      </c>
      <c r="B743" t="s">
        <v>484</v>
      </c>
      <c r="C743" t="s">
        <v>31</v>
      </c>
      <c r="D743" s="1">
        <v>43191</v>
      </c>
      <c r="E743" s="1">
        <v>43555</v>
      </c>
      <c r="F743" t="s">
        <v>36</v>
      </c>
      <c r="G743">
        <v>3</v>
      </c>
      <c r="H743" t="s">
        <v>64</v>
      </c>
      <c r="I743" t="s">
        <v>22</v>
      </c>
      <c r="J743" t="s">
        <v>65</v>
      </c>
      <c r="K743" t="s">
        <v>23</v>
      </c>
      <c r="L743">
        <v>681.53</v>
      </c>
      <c r="M743" s="1">
        <v>43191</v>
      </c>
      <c r="N743" t="s">
        <v>24</v>
      </c>
      <c r="O743" t="s">
        <v>25</v>
      </c>
      <c r="Q743" s="1">
        <v>43852</v>
      </c>
    </row>
    <row r="744" spans="1:17" x14ac:dyDescent="0.5">
      <c r="A744" t="s">
        <v>124</v>
      </c>
      <c r="B744" t="s">
        <v>484</v>
      </c>
      <c r="C744" t="s">
        <v>31</v>
      </c>
      <c r="D744" s="1">
        <v>43191</v>
      </c>
      <c r="E744" s="1">
        <v>43555</v>
      </c>
      <c r="F744" t="s">
        <v>36</v>
      </c>
      <c r="G744">
        <v>3</v>
      </c>
      <c r="H744" t="s">
        <v>64</v>
      </c>
      <c r="I744" t="s">
        <v>22</v>
      </c>
      <c r="J744" t="s">
        <v>65</v>
      </c>
      <c r="K744" t="s">
        <v>23</v>
      </c>
      <c r="L744">
        <v>272.61</v>
      </c>
      <c r="M744" s="1">
        <v>43191</v>
      </c>
      <c r="N744" t="s">
        <v>24</v>
      </c>
      <c r="O744" t="s">
        <v>25</v>
      </c>
      <c r="Q744" s="1">
        <v>43852</v>
      </c>
    </row>
    <row r="745" spans="1:17" x14ac:dyDescent="0.5">
      <c r="A745" t="s">
        <v>126</v>
      </c>
      <c r="B745" t="s">
        <v>485</v>
      </c>
      <c r="C745" t="s">
        <v>31</v>
      </c>
      <c r="D745" s="1">
        <v>43191</v>
      </c>
      <c r="E745" s="1">
        <v>43555</v>
      </c>
      <c r="F745" t="s">
        <v>36</v>
      </c>
      <c r="G745">
        <v>3</v>
      </c>
      <c r="H745" t="s">
        <v>64</v>
      </c>
      <c r="I745" t="s">
        <v>22</v>
      </c>
      <c r="J745" t="s">
        <v>65</v>
      </c>
      <c r="K745" t="s">
        <v>23</v>
      </c>
      <c r="L745">
        <v>4175.3599999999997</v>
      </c>
      <c r="M745" s="1">
        <v>43191</v>
      </c>
      <c r="N745" t="s">
        <v>24</v>
      </c>
      <c r="O745" t="s">
        <v>25</v>
      </c>
      <c r="Q745" s="1">
        <v>43852</v>
      </c>
    </row>
    <row r="746" spans="1:17" x14ac:dyDescent="0.5">
      <c r="A746" t="s">
        <v>128</v>
      </c>
      <c r="B746" t="s">
        <v>485</v>
      </c>
      <c r="C746" t="s">
        <v>31</v>
      </c>
      <c r="D746" s="1">
        <v>43191</v>
      </c>
      <c r="E746" s="1">
        <v>43555</v>
      </c>
      <c r="F746" t="s">
        <v>36</v>
      </c>
      <c r="G746">
        <v>3</v>
      </c>
      <c r="H746" t="s">
        <v>64</v>
      </c>
      <c r="I746" t="s">
        <v>22</v>
      </c>
      <c r="J746" t="s">
        <v>65</v>
      </c>
      <c r="K746" t="s">
        <v>23</v>
      </c>
      <c r="L746">
        <v>1605.91</v>
      </c>
      <c r="M746" s="1">
        <v>43191</v>
      </c>
      <c r="N746" t="s">
        <v>24</v>
      </c>
      <c r="O746" t="s">
        <v>25</v>
      </c>
      <c r="Q746" s="1">
        <v>43852</v>
      </c>
    </row>
    <row r="747" spans="1:17" x14ac:dyDescent="0.5">
      <c r="A747" t="s">
        <v>130</v>
      </c>
      <c r="B747" t="s">
        <v>485</v>
      </c>
      <c r="C747" t="s">
        <v>31</v>
      </c>
      <c r="D747" s="1">
        <v>43191</v>
      </c>
      <c r="E747" s="1">
        <v>43555</v>
      </c>
      <c r="F747" t="s">
        <v>36</v>
      </c>
      <c r="G747">
        <v>3</v>
      </c>
      <c r="H747" t="s">
        <v>64</v>
      </c>
      <c r="I747" t="s">
        <v>22</v>
      </c>
      <c r="J747" t="s">
        <v>65</v>
      </c>
      <c r="K747" t="s">
        <v>23</v>
      </c>
      <c r="L747">
        <v>642.36</v>
      </c>
      <c r="M747" s="1">
        <v>43191</v>
      </c>
      <c r="N747" t="s">
        <v>24</v>
      </c>
      <c r="O747" t="s">
        <v>25</v>
      </c>
      <c r="Q747" s="1">
        <v>43852</v>
      </c>
    </row>
    <row r="748" spans="1:17" x14ac:dyDescent="0.5">
      <c r="A748" t="s">
        <v>132</v>
      </c>
      <c r="B748" t="s">
        <v>486</v>
      </c>
      <c r="C748" t="s">
        <v>31</v>
      </c>
      <c r="D748" s="1">
        <v>43191</v>
      </c>
      <c r="E748" s="1">
        <v>43555</v>
      </c>
      <c r="F748" t="s">
        <v>32</v>
      </c>
      <c r="G748">
        <v>3</v>
      </c>
      <c r="H748" t="s">
        <v>64</v>
      </c>
      <c r="I748" t="s">
        <v>22</v>
      </c>
      <c r="J748" t="s">
        <v>65</v>
      </c>
      <c r="K748" t="s">
        <v>23</v>
      </c>
      <c r="L748">
        <v>23863.13</v>
      </c>
      <c r="M748" s="1">
        <v>76062</v>
      </c>
      <c r="N748" t="s">
        <v>24</v>
      </c>
      <c r="O748" t="s">
        <v>25</v>
      </c>
      <c r="Q748" s="1">
        <v>43852</v>
      </c>
    </row>
    <row r="749" spans="1:17" x14ac:dyDescent="0.5">
      <c r="A749" t="s">
        <v>135</v>
      </c>
      <c r="B749" t="s">
        <v>486</v>
      </c>
      <c r="C749" t="s">
        <v>31</v>
      </c>
      <c r="D749" s="1">
        <v>43191</v>
      </c>
      <c r="E749" s="1">
        <v>43555</v>
      </c>
      <c r="F749" t="s">
        <v>32</v>
      </c>
      <c r="G749">
        <v>3</v>
      </c>
      <c r="H749" t="s">
        <v>64</v>
      </c>
      <c r="I749" t="s">
        <v>22</v>
      </c>
      <c r="J749" t="s">
        <v>65</v>
      </c>
      <c r="K749" t="s">
        <v>23</v>
      </c>
      <c r="L749">
        <v>9178.1299999999992</v>
      </c>
      <c r="M749" s="1">
        <v>76062</v>
      </c>
      <c r="N749" t="s">
        <v>24</v>
      </c>
      <c r="O749" t="s">
        <v>25</v>
      </c>
      <c r="Q749" s="1">
        <v>43852</v>
      </c>
    </row>
    <row r="750" spans="1:17" x14ac:dyDescent="0.5">
      <c r="A750" t="s">
        <v>136</v>
      </c>
      <c r="B750" t="s">
        <v>486</v>
      </c>
      <c r="C750" t="s">
        <v>31</v>
      </c>
      <c r="D750" s="1">
        <v>43191</v>
      </c>
      <c r="E750" s="1">
        <v>43555</v>
      </c>
      <c r="F750" t="s">
        <v>32</v>
      </c>
      <c r="G750">
        <v>3</v>
      </c>
      <c r="H750" t="s">
        <v>64</v>
      </c>
      <c r="I750" t="s">
        <v>22</v>
      </c>
      <c r="J750" t="s">
        <v>65</v>
      </c>
      <c r="K750" t="s">
        <v>23</v>
      </c>
      <c r="L750">
        <v>3671.25</v>
      </c>
      <c r="M750" s="1">
        <v>76062</v>
      </c>
      <c r="N750" t="s">
        <v>24</v>
      </c>
      <c r="O750" t="s">
        <v>25</v>
      </c>
      <c r="Q750" s="1">
        <v>43852</v>
      </c>
    </row>
    <row r="751" spans="1:17" x14ac:dyDescent="0.5">
      <c r="A751" t="s">
        <v>139</v>
      </c>
      <c r="B751" t="s">
        <v>487</v>
      </c>
      <c r="C751" t="s">
        <v>31</v>
      </c>
      <c r="D751" s="1">
        <v>43191</v>
      </c>
      <c r="E751" s="1">
        <v>43555</v>
      </c>
      <c r="F751" t="s">
        <v>32</v>
      </c>
      <c r="G751">
        <v>3</v>
      </c>
      <c r="H751" t="s">
        <v>64</v>
      </c>
      <c r="I751" t="s">
        <v>22</v>
      </c>
      <c r="J751" t="s">
        <v>65</v>
      </c>
      <c r="K751" t="s">
        <v>23</v>
      </c>
      <c r="L751">
        <v>157.13999999999999</v>
      </c>
      <c r="M751" s="1">
        <v>43191</v>
      </c>
      <c r="N751" t="s">
        <v>24</v>
      </c>
      <c r="O751" t="s">
        <v>25</v>
      </c>
      <c r="Q751" s="1">
        <v>43852</v>
      </c>
    </row>
    <row r="752" spans="1:17" x14ac:dyDescent="0.5">
      <c r="A752" t="s">
        <v>141</v>
      </c>
      <c r="B752" t="s">
        <v>487</v>
      </c>
      <c r="C752" t="s">
        <v>31</v>
      </c>
      <c r="D752" s="1">
        <v>43191</v>
      </c>
      <c r="E752" s="1">
        <v>43555</v>
      </c>
      <c r="F752" t="s">
        <v>32</v>
      </c>
      <c r="G752">
        <v>3</v>
      </c>
      <c r="H752" t="s">
        <v>64</v>
      </c>
      <c r="I752" t="s">
        <v>22</v>
      </c>
      <c r="J752" t="s">
        <v>65</v>
      </c>
      <c r="K752" t="s">
        <v>23</v>
      </c>
      <c r="L752">
        <v>60.44</v>
      </c>
      <c r="M752" s="1">
        <v>43191</v>
      </c>
      <c r="N752" t="s">
        <v>24</v>
      </c>
      <c r="O752" t="s">
        <v>25</v>
      </c>
      <c r="Q752" s="1">
        <v>43852</v>
      </c>
    </row>
    <row r="753" spans="1:17" x14ac:dyDescent="0.5">
      <c r="A753" t="s">
        <v>143</v>
      </c>
      <c r="B753" t="s">
        <v>487</v>
      </c>
      <c r="C753" t="s">
        <v>31</v>
      </c>
      <c r="D753" s="1">
        <v>43191</v>
      </c>
      <c r="E753" s="1">
        <v>43555</v>
      </c>
      <c r="F753" t="s">
        <v>32</v>
      </c>
      <c r="G753">
        <v>3</v>
      </c>
      <c r="H753" t="s">
        <v>64</v>
      </c>
      <c r="I753" t="s">
        <v>22</v>
      </c>
      <c r="J753" t="s">
        <v>65</v>
      </c>
      <c r="K753" t="s">
        <v>23</v>
      </c>
      <c r="L753">
        <v>24.17</v>
      </c>
      <c r="M753" s="1">
        <v>43191</v>
      </c>
      <c r="N753" t="s">
        <v>24</v>
      </c>
      <c r="O753" t="s">
        <v>25</v>
      </c>
      <c r="Q753" s="1">
        <v>43852</v>
      </c>
    </row>
    <row r="754" spans="1:17" x14ac:dyDescent="0.5">
      <c r="A754" t="s">
        <v>145</v>
      </c>
      <c r="B754" t="s">
        <v>488</v>
      </c>
      <c r="C754" t="s">
        <v>19</v>
      </c>
      <c r="D754" s="1">
        <v>43191</v>
      </c>
      <c r="E754" s="1">
        <v>43555</v>
      </c>
      <c r="F754" t="s">
        <v>32</v>
      </c>
      <c r="G754">
        <v>3</v>
      </c>
      <c r="H754" t="s">
        <v>64</v>
      </c>
      <c r="I754" t="s">
        <v>22</v>
      </c>
      <c r="J754" t="s">
        <v>65</v>
      </c>
      <c r="K754" t="s">
        <v>23</v>
      </c>
      <c r="L754">
        <v>23753.439999999999</v>
      </c>
      <c r="M754" s="1">
        <v>43191</v>
      </c>
      <c r="N754" t="s">
        <v>24</v>
      </c>
      <c r="O754" t="s">
        <v>25</v>
      </c>
      <c r="Q754" s="1">
        <v>43852</v>
      </c>
    </row>
    <row r="755" spans="1:17" x14ac:dyDescent="0.5">
      <c r="A755" t="s">
        <v>147</v>
      </c>
      <c r="B755" t="s">
        <v>488</v>
      </c>
      <c r="C755" t="s">
        <v>19</v>
      </c>
      <c r="D755" s="1">
        <v>43191</v>
      </c>
      <c r="E755" s="1">
        <v>43555</v>
      </c>
      <c r="F755" t="s">
        <v>32</v>
      </c>
      <c r="G755">
        <v>3</v>
      </c>
      <c r="H755" t="s">
        <v>64</v>
      </c>
      <c r="I755" t="s">
        <v>22</v>
      </c>
      <c r="J755" t="s">
        <v>65</v>
      </c>
      <c r="K755" t="s">
        <v>23</v>
      </c>
      <c r="L755">
        <v>9135.94</v>
      </c>
      <c r="M755" s="1">
        <v>43191</v>
      </c>
      <c r="N755" t="s">
        <v>24</v>
      </c>
      <c r="O755" t="s">
        <v>25</v>
      </c>
      <c r="Q755" s="1">
        <v>43852</v>
      </c>
    </row>
    <row r="756" spans="1:17" x14ac:dyDescent="0.5">
      <c r="A756" t="s">
        <v>149</v>
      </c>
      <c r="B756" t="s">
        <v>488</v>
      </c>
      <c r="C756" t="s">
        <v>19</v>
      </c>
      <c r="D756" s="1">
        <v>43191</v>
      </c>
      <c r="E756" s="1">
        <v>43555</v>
      </c>
      <c r="F756" t="s">
        <v>32</v>
      </c>
      <c r="G756">
        <v>3</v>
      </c>
      <c r="H756" t="s">
        <v>64</v>
      </c>
      <c r="I756" t="s">
        <v>22</v>
      </c>
      <c r="J756" t="s">
        <v>65</v>
      </c>
      <c r="K756" t="s">
        <v>23</v>
      </c>
      <c r="L756">
        <v>3654.37</v>
      </c>
      <c r="M756" s="1">
        <v>43191</v>
      </c>
      <c r="N756" t="s">
        <v>24</v>
      </c>
      <c r="O756" t="s">
        <v>25</v>
      </c>
      <c r="Q756" s="1">
        <v>43852</v>
      </c>
    </row>
    <row r="757" spans="1:17" x14ac:dyDescent="0.5">
      <c r="A757" t="s">
        <v>151</v>
      </c>
      <c r="B757" t="s">
        <v>489</v>
      </c>
      <c r="C757" t="s">
        <v>19</v>
      </c>
      <c r="D757" s="1">
        <v>43556</v>
      </c>
      <c r="E757" s="1">
        <v>43921</v>
      </c>
      <c r="F757" t="s">
        <v>36</v>
      </c>
      <c r="G757">
        <v>3</v>
      </c>
      <c r="H757" t="s">
        <v>64</v>
      </c>
      <c r="I757" t="s">
        <v>22</v>
      </c>
      <c r="J757" t="s">
        <v>65</v>
      </c>
      <c r="K757" t="s">
        <v>23</v>
      </c>
      <c r="L757">
        <v>445.18</v>
      </c>
      <c r="M757" s="1">
        <v>43556</v>
      </c>
      <c r="N757" t="s">
        <v>24</v>
      </c>
      <c r="O757" t="s">
        <v>25</v>
      </c>
      <c r="Q757" s="1">
        <v>43852</v>
      </c>
    </row>
    <row r="758" spans="1:17" x14ac:dyDescent="0.5">
      <c r="A758" t="s">
        <v>153</v>
      </c>
      <c r="B758" t="s">
        <v>490</v>
      </c>
      <c r="C758" t="s">
        <v>31</v>
      </c>
      <c r="D758" s="1">
        <v>43191</v>
      </c>
      <c r="E758" s="1">
        <v>43555</v>
      </c>
      <c r="F758" t="s">
        <v>36</v>
      </c>
      <c r="G758">
        <v>3</v>
      </c>
      <c r="H758" t="s">
        <v>64</v>
      </c>
      <c r="I758" t="s">
        <v>22</v>
      </c>
      <c r="J758" t="s">
        <v>65</v>
      </c>
      <c r="K758" t="s">
        <v>23</v>
      </c>
      <c r="L758">
        <v>1598.68</v>
      </c>
      <c r="M758" s="1">
        <v>43191</v>
      </c>
      <c r="N758" t="s">
        <v>24</v>
      </c>
      <c r="O758" t="s">
        <v>25</v>
      </c>
      <c r="Q758" s="1">
        <v>43852</v>
      </c>
    </row>
    <row r="759" spans="1:17" x14ac:dyDescent="0.5">
      <c r="A759" t="s">
        <v>155</v>
      </c>
      <c r="B759" t="s">
        <v>490</v>
      </c>
      <c r="C759" t="s">
        <v>31</v>
      </c>
      <c r="D759" s="1">
        <v>43191</v>
      </c>
      <c r="E759" s="1">
        <v>43555</v>
      </c>
      <c r="F759" t="s">
        <v>36</v>
      </c>
      <c r="G759">
        <v>3</v>
      </c>
      <c r="H759" t="s">
        <v>64</v>
      </c>
      <c r="I759" t="s">
        <v>22</v>
      </c>
      <c r="J759" t="s">
        <v>65</v>
      </c>
      <c r="K759" t="s">
        <v>23</v>
      </c>
      <c r="L759">
        <v>614.88</v>
      </c>
      <c r="M759" s="1">
        <v>43191</v>
      </c>
      <c r="N759" t="s">
        <v>24</v>
      </c>
      <c r="O759" t="s">
        <v>25</v>
      </c>
      <c r="Q759" s="1">
        <v>43852</v>
      </c>
    </row>
    <row r="760" spans="1:17" x14ac:dyDescent="0.5">
      <c r="A760" t="s">
        <v>157</v>
      </c>
      <c r="B760" t="s">
        <v>490</v>
      </c>
      <c r="C760" t="s">
        <v>31</v>
      </c>
      <c r="D760" s="1">
        <v>43191</v>
      </c>
      <c r="E760" s="1">
        <v>43555</v>
      </c>
      <c r="F760" t="s">
        <v>36</v>
      </c>
      <c r="G760">
        <v>3</v>
      </c>
      <c r="H760" t="s">
        <v>64</v>
      </c>
      <c r="I760" t="s">
        <v>22</v>
      </c>
      <c r="J760" t="s">
        <v>65</v>
      </c>
      <c r="K760" t="s">
        <v>23</v>
      </c>
      <c r="L760">
        <v>245.95</v>
      </c>
      <c r="M760" s="1">
        <v>43191</v>
      </c>
      <c r="N760" t="s">
        <v>24</v>
      </c>
      <c r="O760" t="s">
        <v>25</v>
      </c>
      <c r="Q760" s="1">
        <v>43852</v>
      </c>
    </row>
    <row r="761" spans="1:17" x14ac:dyDescent="0.5">
      <c r="A761" t="s">
        <v>159</v>
      </c>
      <c r="B761" t="s">
        <v>489</v>
      </c>
      <c r="C761" t="s">
        <v>19</v>
      </c>
      <c r="D761" s="1">
        <v>43556</v>
      </c>
      <c r="E761" s="1">
        <v>43921</v>
      </c>
      <c r="F761" t="s">
        <v>36</v>
      </c>
      <c r="G761">
        <v>3</v>
      </c>
      <c r="H761" t="s">
        <v>64</v>
      </c>
      <c r="I761" t="s">
        <v>22</v>
      </c>
      <c r="J761" t="s">
        <v>65</v>
      </c>
      <c r="K761" t="s">
        <v>23</v>
      </c>
      <c r="L761">
        <v>2077.5100000000002</v>
      </c>
      <c r="M761" s="1">
        <v>43556</v>
      </c>
      <c r="N761" t="s">
        <v>24</v>
      </c>
      <c r="O761" t="s">
        <v>25</v>
      </c>
      <c r="Q761" s="1">
        <v>43852</v>
      </c>
    </row>
    <row r="762" spans="1:17" x14ac:dyDescent="0.5">
      <c r="A762" t="s">
        <v>161</v>
      </c>
      <c r="B762" t="s">
        <v>489</v>
      </c>
      <c r="C762" t="s">
        <v>19</v>
      </c>
      <c r="D762" s="1">
        <v>43556</v>
      </c>
      <c r="E762" s="1">
        <v>43921</v>
      </c>
      <c r="F762" t="s">
        <v>36</v>
      </c>
      <c r="G762">
        <v>3</v>
      </c>
      <c r="H762" t="s">
        <v>64</v>
      </c>
      <c r="I762" t="s">
        <v>22</v>
      </c>
      <c r="J762" t="s">
        <v>65</v>
      </c>
      <c r="K762" t="s">
        <v>23</v>
      </c>
      <c r="L762">
        <v>445.18</v>
      </c>
      <c r="M762" s="1">
        <v>43556</v>
      </c>
      <c r="N762" t="s">
        <v>24</v>
      </c>
      <c r="O762" t="s">
        <v>25</v>
      </c>
      <c r="Q762" s="1">
        <v>43852</v>
      </c>
    </row>
    <row r="763" spans="1:17" x14ac:dyDescent="0.5">
      <c r="A763" t="s">
        <v>163</v>
      </c>
      <c r="B763" t="s">
        <v>491</v>
      </c>
      <c r="C763" t="s">
        <v>19</v>
      </c>
      <c r="D763" s="1">
        <v>43450</v>
      </c>
      <c r="E763" s="1">
        <v>43814</v>
      </c>
      <c r="F763" t="s">
        <v>32</v>
      </c>
      <c r="G763">
        <v>1</v>
      </c>
      <c r="H763" t="s">
        <v>21</v>
      </c>
      <c r="I763" t="s">
        <v>22</v>
      </c>
      <c r="J763" t="s">
        <v>54</v>
      </c>
      <c r="K763" t="s">
        <v>23</v>
      </c>
      <c r="L763">
        <v>33484.339999999997</v>
      </c>
      <c r="M763" s="1">
        <v>43450</v>
      </c>
      <c r="N763" t="s">
        <v>24</v>
      </c>
      <c r="O763" t="s">
        <v>25</v>
      </c>
      <c r="Q763" s="1">
        <v>43852</v>
      </c>
    </row>
    <row r="764" spans="1:17" x14ac:dyDescent="0.5">
      <c r="A764" t="s">
        <v>165</v>
      </c>
      <c r="B764" t="s">
        <v>492</v>
      </c>
      <c r="C764" t="s">
        <v>19</v>
      </c>
      <c r="D764" s="1">
        <v>43815</v>
      </c>
      <c r="E764" s="1">
        <v>44180</v>
      </c>
      <c r="F764" t="s">
        <v>32</v>
      </c>
      <c r="G764">
        <v>2</v>
      </c>
      <c r="H764" t="s">
        <v>27</v>
      </c>
      <c r="I764" t="s">
        <v>22</v>
      </c>
      <c r="J764" t="s">
        <v>61</v>
      </c>
      <c r="K764" t="s">
        <v>23</v>
      </c>
      <c r="L764">
        <v>109812.12</v>
      </c>
      <c r="M764" s="1">
        <v>43815</v>
      </c>
      <c r="N764" t="s">
        <v>24</v>
      </c>
      <c r="O764" t="s">
        <v>25</v>
      </c>
      <c r="Q764" s="1">
        <v>43852</v>
      </c>
    </row>
    <row r="765" spans="1:17" x14ac:dyDescent="0.5">
      <c r="A765" t="s">
        <v>167</v>
      </c>
      <c r="B765">
        <v>3.1242020675749002E+18</v>
      </c>
      <c r="C765" t="s">
        <v>19</v>
      </c>
      <c r="D765" s="1">
        <v>43110</v>
      </c>
      <c r="E765" s="1">
        <v>43251</v>
      </c>
      <c r="F765" t="s">
        <v>37</v>
      </c>
      <c r="G765">
        <v>12</v>
      </c>
      <c r="H765" t="s">
        <v>83</v>
      </c>
      <c r="I765" t="s">
        <v>22</v>
      </c>
      <c r="J765" t="s">
        <v>65</v>
      </c>
      <c r="K765" t="s">
        <v>23</v>
      </c>
      <c r="L765">
        <v>12084.5</v>
      </c>
      <c r="M765" s="1">
        <v>43110</v>
      </c>
      <c r="N765" t="s">
        <v>24</v>
      </c>
      <c r="O765" t="s">
        <v>25</v>
      </c>
      <c r="Q765" s="1">
        <v>43852</v>
      </c>
    </row>
    <row r="766" spans="1:17" x14ac:dyDescent="0.5">
      <c r="A766" t="s">
        <v>169</v>
      </c>
      <c r="B766">
        <v>9.9000044170299998E+19</v>
      </c>
      <c r="C766" t="s">
        <v>31</v>
      </c>
      <c r="D766" s="1">
        <v>43185</v>
      </c>
      <c r="E766" s="1">
        <v>43641</v>
      </c>
      <c r="F766" t="s">
        <v>202</v>
      </c>
      <c r="G766">
        <v>13</v>
      </c>
      <c r="H766" t="s">
        <v>212</v>
      </c>
      <c r="I766" t="s">
        <v>22</v>
      </c>
      <c r="J766" t="s">
        <v>33</v>
      </c>
      <c r="K766" t="s">
        <v>28</v>
      </c>
      <c r="L766">
        <v>51965.88</v>
      </c>
      <c r="M766" s="1">
        <v>43185</v>
      </c>
      <c r="N766" t="s">
        <v>24</v>
      </c>
      <c r="O766" t="s">
        <v>252</v>
      </c>
      <c r="P766" t="s">
        <v>253</v>
      </c>
      <c r="Q766" s="1">
        <v>43852</v>
      </c>
    </row>
    <row r="767" spans="1:17" x14ac:dyDescent="0.5">
      <c r="A767" t="s">
        <v>171</v>
      </c>
      <c r="B767">
        <v>9.9000044180300005E+19</v>
      </c>
      <c r="C767" t="s">
        <v>31</v>
      </c>
      <c r="D767" s="1">
        <v>43258</v>
      </c>
      <c r="E767" s="1">
        <v>43622</v>
      </c>
      <c r="F767" t="s">
        <v>202</v>
      </c>
      <c r="G767">
        <v>13</v>
      </c>
      <c r="H767" t="s">
        <v>212</v>
      </c>
      <c r="I767" t="s">
        <v>22</v>
      </c>
      <c r="J767" t="s">
        <v>33</v>
      </c>
      <c r="K767" t="s">
        <v>66</v>
      </c>
      <c r="L767">
        <v>25619.25</v>
      </c>
      <c r="M767" s="1">
        <v>43258</v>
      </c>
      <c r="N767" t="s">
        <v>24</v>
      </c>
      <c r="O767" t="s">
        <v>252</v>
      </c>
      <c r="P767" t="s">
        <v>253</v>
      </c>
      <c r="Q767" s="1">
        <v>43852</v>
      </c>
    </row>
    <row r="768" spans="1:17" x14ac:dyDescent="0.5">
      <c r="A768" t="s">
        <v>173</v>
      </c>
      <c r="B768">
        <v>9.9000044190299996E+19</v>
      </c>
      <c r="C768" t="s">
        <v>19</v>
      </c>
      <c r="D768" s="1">
        <v>43642</v>
      </c>
      <c r="E768" s="1">
        <v>43824</v>
      </c>
      <c r="F768" t="s">
        <v>202</v>
      </c>
      <c r="G768">
        <v>13</v>
      </c>
      <c r="H768" t="s">
        <v>212</v>
      </c>
      <c r="I768" t="s">
        <v>22</v>
      </c>
      <c r="J768" t="s">
        <v>33</v>
      </c>
      <c r="K768" t="s">
        <v>66</v>
      </c>
      <c r="L768">
        <v>25598</v>
      </c>
      <c r="M768" s="1">
        <v>43642</v>
      </c>
      <c r="N768" t="s">
        <v>24</v>
      </c>
      <c r="O768" t="s">
        <v>25</v>
      </c>
      <c r="Q768" s="1">
        <v>43852</v>
      </c>
    </row>
    <row r="769" spans="1:17" x14ac:dyDescent="0.5">
      <c r="A769" t="s">
        <v>175</v>
      </c>
      <c r="B769">
        <v>9.9000044190299996E+19</v>
      </c>
      <c r="C769" t="s">
        <v>19</v>
      </c>
      <c r="D769" s="1">
        <v>43642</v>
      </c>
      <c r="E769" s="1">
        <v>43824</v>
      </c>
      <c r="F769" t="s">
        <v>202</v>
      </c>
      <c r="G769">
        <v>13</v>
      </c>
      <c r="H769" t="s">
        <v>212</v>
      </c>
      <c r="I769" t="s">
        <v>22</v>
      </c>
      <c r="J769" t="s">
        <v>33</v>
      </c>
      <c r="K769" t="s">
        <v>66</v>
      </c>
      <c r="L769">
        <v>25598</v>
      </c>
      <c r="M769" s="1">
        <v>43642</v>
      </c>
      <c r="N769" t="s">
        <v>24</v>
      </c>
      <c r="O769" t="s">
        <v>25</v>
      </c>
      <c r="Q769" s="1">
        <v>43852</v>
      </c>
    </row>
    <row r="770" spans="1:17" x14ac:dyDescent="0.5">
      <c r="A770" t="s">
        <v>177</v>
      </c>
      <c r="B770">
        <v>9.9000044190299996E+19</v>
      </c>
      <c r="C770" t="s">
        <v>19</v>
      </c>
      <c r="D770" s="1">
        <v>43791</v>
      </c>
      <c r="E770" s="1">
        <v>43911</v>
      </c>
      <c r="F770" t="s">
        <v>202</v>
      </c>
      <c r="G770">
        <v>13</v>
      </c>
      <c r="H770" t="s">
        <v>212</v>
      </c>
      <c r="I770" t="s">
        <v>22</v>
      </c>
      <c r="J770" t="s">
        <v>33</v>
      </c>
      <c r="K770" t="s">
        <v>28</v>
      </c>
      <c r="L770">
        <v>12643.38</v>
      </c>
      <c r="M770" s="1">
        <v>43791</v>
      </c>
      <c r="N770" t="s">
        <v>24</v>
      </c>
      <c r="O770" t="s">
        <v>25</v>
      </c>
      <c r="Q770" s="1">
        <v>43852</v>
      </c>
    </row>
    <row r="771" spans="1:17" x14ac:dyDescent="0.5">
      <c r="A771" t="s">
        <v>178</v>
      </c>
      <c r="B771">
        <v>9.9000044190299996E+19</v>
      </c>
      <c r="C771" t="s">
        <v>19</v>
      </c>
      <c r="D771" s="1">
        <v>43825</v>
      </c>
      <c r="E771" s="1">
        <v>44007</v>
      </c>
      <c r="F771" t="s">
        <v>202</v>
      </c>
      <c r="G771">
        <v>13</v>
      </c>
      <c r="H771" t="s">
        <v>212</v>
      </c>
      <c r="I771" t="s">
        <v>22</v>
      </c>
      <c r="J771" t="s">
        <v>33</v>
      </c>
      <c r="K771" t="s">
        <v>66</v>
      </c>
      <c r="L771">
        <v>25598</v>
      </c>
      <c r="M771" s="1">
        <v>43825</v>
      </c>
      <c r="N771" t="s">
        <v>24</v>
      </c>
      <c r="O771" t="s">
        <v>25</v>
      </c>
      <c r="Q771" s="1">
        <v>43852</v>
      </c>
    </row>
    <row r="772" spans="1:17" x14ac:dyDescent="0.5">
      <c r="A772" t="s">
        <v>179</v>
      </c>
      <c r="B772" t="s">
        <v>493</v>
      </c>
      <c r="C772" t="s">
        <v>31</v>
      </c>
      <c r="D772" s="1">
        <v>43101</v>
      </c>
      <c r="E772" s="1">
        <v>43465</v>
      </c>
      <c r="F772" t="s">
        <v>40</v>
      </c>
      <c r="G772">
        <v>10</v>
      </c>
      <c r="H772" t="s">
        <v>41</v>
      </c>
      <c r="I772" t="s">
        <v>22</v>
      </c>
      <c r="J772" t="s">
        <v>42</v>
      </c>
      <c r="K772" t="s">
        <v>23</v>
      </c>
      <c r="L772">
        <v>1474120.36</v>
      </c>
      <c r="M772" s="1">
        <v>43101</v>
      </c>
      <c r="N772" t="s">
        <v>24</v>
      </c>
      <c r="O772" t="s">
        <v>252</v>
      </c>
      <c r="P772" t="s">
        <v>282</v>
      </c>
      <c r="Q772" s="1">
        <v>43852</v>
      </c>
    </row>
    <row r="773" spans="1:17" x14ac:dyDescent="0.5">
      <c r="A773" t="s">
        <v>180</v>
      </c>
      <c r="B773" t="s">
        <v>493</v>
      </c>
      <c r="C773" t="s">
        <v>31</v>
      </c>
      <c r="D773" s="1">
        <v>43101</v>
      </c>
      <c r="E773" s="1">
        <v>43465</v>
      </c>
      <c r="F773" t="s">
        <v>40</v>
      </c>
      <c r="G773">
        <v>10</v>
      </c>
      <c r="H773" t="s">
        <v>41</v>
      </c>
      <c r="I773" t="s">
        <v>22</v>
      </c>
      <c r="J773" t="s">
        <v>42</v>
      </c>
      <c r="K773" t="s">
        <v>23</v>
      </c>
      <c r="M773" s="1">
        <v>43371</v>
      </c>
      <c r="N773" t="s">
        <v>47</v>
      </c>
      <c r="O773" t="s">
        <v>252</v>
      </c>
      <c r="Q773" s="1">
        <v>43852</v>
      </c>
    </row>
    <row r="774" spans="1:17" x14ac:dyDescent="0.5">
      <c r="A774" t="s">
        <v>181</v>
      </c>
      <c r="B774" t="s">
        <v>494</v>
      </c>
      <c r="C774" t="s">
        <v>31</v>
      </c>
      <c r="D774" s="1">
        <v>43101</v>
      </c>
      <c r="E774" s="1">
        <v>43465</v>
      </c>
      <c r="F774" t="s">
        <v>40</v>
      </c>
      <c r="G774">
        <v>10</v>
      </c>
      <c r="H774" t="s">
        <v>41</v>
      </c>
      <c r="I774" t="s">
        <v>22</v>
      </c>
      <c r="J774" t="s">
        <v>42</v>
      </c>
      <c r="K774" t="s">
        <v>23</v>
      </c>
      <c r="L774">
        <v>34349.81</v>
      </c>
      <c r="M774" s="1">
        <v>43101</v>
      </c>
      <c r="N774" t="s">
        <v>24</v>
      </c>
      <c r="O774" t="s">
        <v>252</v>
      </c>
      <c r="P774" t="s">
        <v>282</v>
      </c>
      <c r="Q774" s="1">
        <v>43852</v>
      </c>
    </row>
    <row r="775" spans="1:17" x14ac:dyDescent="0.5">
      <c r="A775" t="s">
        <v>183</v>
      </c>
      <c r="B775">
        <v>5051621</v>
      </c>
      <c r="C775" t="s">
        <v>31</v>
      </c>
      <c r="D775" s="1">
        <v>43101</v>
      </c>
      <c r="E775" s="1">
        <v>43465</v>
      </c>
      <c r="F775" t="s">
        <v>40</v>
      </c>
      <c r="G775">
        <v>10</v>
      </c>
      <c r="H775" t="s">
        <v>41</v>
      </c>
      <c r="I775" t="s">
        <v>22</v>
      </c>
      <c r="J775" t="s">
        <v>42</v>
      </c>
      <c r="K775" t="s">
        <v>23</v>
      </c>
      <c r="L775">
        <v>51883.58</v>
      </c>
      <c r="M775" s="1">
        <v>43101</v>
      </c>
      <c r="N775" t="s">
        <v>24</v>
      </c>
      <c r="O775" t="s">
        <v>252</v>
      </c>
      <c r="P775" t="s">
        <v>282</v>
      </c>
      <c r="Q775" s="1">
        <v>43852</v>
      </c>
    </row>
    <row r="776" spans="1:17" x14ac:dyDescent="0.5">
      <c r="A776" t="s">
        <v>184</v>
      </c>
      <c r="B776">
        <v>43145480</v>
      </c>
      <c r="C776" t="s">
        <v>31</v>
      </c>
      <c r="D776" s="1">
        <v>42919</v>
      </c>
      <c r="E776" s="1">
        <v>43283</v>
      </c>
      <c r="F776" t="s">
        <v>36</v>
      </c>
      <c r="G776">
        <v>13</v>
      </c>
      <c r="H776" t="s">
        <v>212</v>
      </c>
      <c r="I776" t="s">
        <v>22</v>
      </c>
      <c r="J776" t="s">
        <v>42</v>
      </c>
      <c r="K776" t="s">
        <v>23</v>
      </c>
      <c r="L776">
        <v>15963.92</v>
      </c>
      <c r="M776" s="1">
        <v>42919</v>
      </c>
      <c r="N776" t="s">
        <v>24</v>
      </c>
      <c r="O776" t="s">
        <v>25</v>
      </c>
      <c r="Q776" s="1">
        <v>43852</v>
      </c>
    </row>
    <row r="777" spans="1:17" x14ac:dyDescent="0.5">
      <c r="A777" t="s">
        <v>185</v>
      </c>
      <c r="B777">
        <v>43168449</v>
      </c>
      <c r="C777" t="s">
        <v>31</v>
      </c>
      <c r="D777" s="1">
        <v>43284</v>
      </c>
      <c r="E777" s="1">
        <v>43648</v>
      </c>
      <c r="F777" t="s">
        <v>36</v>
      </c>
      <c r="G777">
        <v>13</v>
      </c>
      <c r="H777" t="s">
        <v>212</v>
      </c>
      <c r="I777" t="s">
        <v>22</v>
      </c>
      <c r="J777" t="s">
        <v>42</v>
      </c>
      <c r="K777" t="s">
        <v>23</v>
      </c>
      <c r="L777">
        <v>0</v>
      </c>
      <c r="M777" s="1">
        <v>43284</v>
      </c>
      <c r="N777" t="s">
        <v>24</v>
      </c>
      <c r="O777" t="s">
        <v>23</v>
      </c>
      <c r="Q777" s="1">
        <v>43852</v>
      </c>
    </row>
    <row r="778" spans="1:17" x14ac:dyDescent="0.5">
      <c r="A778" t="s">
        <v>186</v>
      </c>
      <c r="B778">
        <v>43191791</v>
      </c>
      <c r="C778" t="s">
        <v>19</v>
      </c>
      <c r="D778" s="1">
        <v>43649</v>
      </c>
      <c r="E778" s="1">
        <v>43740</v>
      </c>
      <c r="F778" t="s">
        <v>36</v>
      </c>
      <c r="G778">
        <v>13</v>
      </c>
      <c r="H778" t="s">
        <v>212</v>
      </c>
      <c r="I778" t="s">
        <v>22</v>
      </c>
      <c r="J778" t="s">
        <v>42</v>
      </c>
      <c r="K778" t="s">
        <v>23</v>
      </c>
      <c r="L778">
        <v>956.34</v>
      </c>
      <c r="M778" s="1">
        <v>43649</v>
      </c>
      <c r="N778" t="s">
        <v>24</v>
      </c>
      <c r="O778" t="s">
        <v>23</v>
      </c>
      <c r="Q778" s="1">
        <v>43852</v>
      </c>
    </row>
    <row r="779" spans="1:17" x14ac:dyDescent="0.5">
      <c r="A779" t="s">
        <v>188</v>
      </c>
      <c r="B779">
        <v>2.2210011170099999E+19</v>
      </c>
      <c r="C779" t="s">
        <v>31</v>
      </c>
      <c r="D779" s="1">
        <v>43112</v>
      </c>
      <c r="E779" s="1">
        <v>43476</v>
      </c>
      <c r="F779" t="s">
        <v>32</v>
      </c>
      <c r="G779">
        <v>13</v>
      </c>
      <c r="H779" t="s">
        <v>212</v>
      </c>
      <c r="I779" t="s">
        <v>22</v>
      </c>
      <c r="J779" t="s">
        <v>54</v>
      </c>
      <c r="K779" t="s">
        <v>28</v>
      </c>
      <c r="L779">
        <v>5416.62</v>
      </c>
      <c r="M779" s="1">
        <v>43112</v>
      </c>
      <c r="N779" t="s">
        <v>24</v>
      </c>
      <c r="O779" t="s">
        <v>25</v>
      </c>
      <c r="Q779" s="1">
        <v>43852</v>
      </c>
    </row>
    <row r="780" spans="1:17" x14ac:dyDescent="0.5">
      <c r="A780" t="s">
        <v>190</v>
      </c>
      <c r="B780">
        <v>2.2210021170199998E+19</v>
      </c>
      <c r="C780" t="s">
        <v>31</v>
      </c>
      <c r="D780" s="1">
        <v>43112</v>
      </c>
      <c r="E780" s="1">
        <v>43476</v>
      </c>
      <c r="F780" t="s">
        <v>20</v>
      </c>
      <c r="G780">
        <v>13</v>
      </c>
      <c r="H780" t="s">
        <v>212</v>
      </c>
      <c r="I780" t="s">
        <v>22</v>
      </c>
      <c r="J780" t="s">
        <v>20</v>
      </c>
      <c r="K780" t="s">
        <v>28</v>
      </c>
      <c r="L780">
        <v>6195.75</v>
      </c>
      <c r="M780" s="1">
        <v>43112</v>
      </c>
      <c r="N780" t="s">
        <v>24</v>
      </c>
      <c r="O780" t="s">
        <v>25</v>
      </c>
      <c r="Q780" s="1">
        <v>43852</v>
      </c>
    </row>
    <row r="781" spans="1:17" x14ac:dyDescent="0.5">
      <c r="A781" t="s">
        <v>192</v>
      </c>
      <c r="B781">
        <v>2.2210046170099999E+19</v>
      </c>
      <c r="C781" t="s">
        <v>31</v>
      </c>
      <c r="D781" s="1">
        <v>43112</v>
      </c>
      <c r="E781" s="1">
        <v>43476</v>
      </c>
      <c r="F781" t="s">
        <v>36</v>
      </c>
      <c r="G781">
        <v>13</v>
      </c>
      <c r="H781" t="s">
        <v>212</v>
      </c>
      <c r="I781" t="s">
        <v>22</v>
      </c>
      <c r="J781" t="s">
        <v>54</v>
      </c>
      <c r="K781" t="s">
        <v>66</v>
      </c>
      <c r="L781">
        <v>518.13</v>
      </c>
      <c r="M781" s="1">
        <v>43112</v>
      </c>
      <c r="N781" t="s">
        <v>24</v>
      </c>
      <c r="O781" t="s">
        <v>25</v>
      </c>
      <c r="Q781" s="1">
        <v>43852</v>
      </c>
    </row>
    <row r="782" spans="1:17" x14ac:dyDescent="0.5">
      <c r="A782" t="s">
        <v>193</v>
      </c>
      <c r="B782">
        <v>3.1142019576752998E+18</v>
      </c>
      <c r="C782" t="s">
        <v>31</v>
      </c>
      <c r="D782" s="1">
        <v>43392</v>
      </c>
      <c r="E782" s="1">
        <v>43756</v>
      </c>
      <c r="F782" t="s">
        <v>36</v>
      </c>
      <c r="G782">
        <v>13</v>
      </c>
      <c r="H782" t="s">
        <v>212</v>
      </c>
      <c r="I782" t="s">
        <v>22</v>
      </c>
      <c r="J782" t="s">
        <v>37</v>
      </c>
      <c r="K782" t="s">
        <v>66</v>
      </c>
      <c r="L782">
        <v>2767.5</v>
      </c>
      <c r="M782" s="1">
        <v>43392</v>
      </c>
      <c r="N782" t="s">
        <v>24</v>
      </c>
      <c r="O782" t="s">
        <v>252</v>
      </c>
      <c r="P782" t="s">
        <v>355</v>
      </c>
      <c r="Q782" s="1">
        <v>43852</v>
      </c>
    </row>
    <row r="783" spans="1:17" x14ac:dyDescent="0.5">
      <c r="A783" t="s">
        <v>194</v>
      </c>
      <c r="B783">
        <v>3.1142031258438999E+18</v>
      </c>
      <c r="C783" t="s">
        <v>19</v>
      </c>
      <c r="D783" s="1">
        <v>43763</v>
      </c>
      <c r="E783" s="1">
        <v>44128</v>
      </c>
      <c r="F783" t="s">
        <v>36</v>
      </c>
      <c r="G783">
        <v>13</v>
      </c>
      <c r="H783" t="s">
        <v>212</v>
      </c>
      <c r="I783" t="s">
        <v>22</v>
      </c>
      <c r="J783" t="s">
        <v>37</v>
      </c>
      <c r="K783" t="s">
        <v>66</v>
      </c>
      <c r="L783">
        <v>8198.25</v>
      </c>
      <c r="M783" s="1">
        <v>43763</v>
      </c>
      <c r="N783" t="s">
        <v>24</v>
      </c>
      <c r="O783" t="s">
        <v>25</v>
      </c>
      <c r="Q783" s="1">
        <v>43852</v>
      </c>
    </row>
    <row r="784" spans="1:17" x14ac:dyDescent="0.5">
      <c r="A784" t="s">
        <v>195</v>
      </c>
      <c r="B784" t="s">
        <v>495</v>
      </c>
      <c r="C784" t="s">
        <v>19</v>
      </c>
      <c r="D784" s="1">
        <v>43477</v>
      </c>
      <c r="E784" s="1">
        <v>43841</v>
      </c>
      <c r="F784" t="s">
        <v>20</v>
      </c>
      <c r="G784">
        <v>13</v>
      </c>
      <c r="H784" t="s">
        <v>212</v>
      </c>
      <c r="I784" t="s">
        <v>22</v>
      </c>
      <c r="J784" t="s">
        <v>20</v>
      </c>
      <c r="K784" t="s">
        <v>28</v>
      </c>
      <c r="L784">
        <v>9075</v>
      </c>
      <c r="M784" s="1">
        <v>43477</v>
      </c>
      <c r="N784" t="s">
        <v>24</v>
      </c>
      <c r="O784" t="s">
        <v>23</v>
      </c>
      <c r="Q784" s="1">
        <v>43852</v>
      </c>
    </row>
    <row r="785" spans="1:17" x14ac:dyDescent="0.5">
      <c r="A785" t="s">
        <v>196</v>
      </c>
      <c r="B785" t="s">
        <v>495</v>
      </c>
      <c r="C785" t="s">
        <v>19</v>
      </c>
      <c r="D785" s="1">
        <v>43477</v>
      </c>
      <c r="E785" s="1">
        <v>43841</v>
      </c>
      <c r="F785" t="s">
        <v>20</v>
      </c>
      <c r="G785">
        <v>13</v>
      </c>
      <c r="H785" t="s">
        <v>212</v>
      </c>
      <c r="I785" t="s">
        <v>22</v>
      </c>
      <c r="J785" t="s">
        <v>20</v>
      </c>
      <c r="K785" t="s">
        <v>28</v>
      </c>
      <c r="L785">
        <v>9075</v>
      </c>
      <c r="M785" s="1">
        <v>43477</v>
      </c>
      <c r="N785" t="s">
        <v>24</v>
      </c>
      <c r="O785" t="s">
        <v>23</v>
      </c>
      <c r="Q785" s="1">
        <v>43852</v>
      </c>
    </row>
    <row r="786" spans="1:17" x14ac:dyDescent="0.5">
      <c r="A786" t="s">
        <v>198</v>
      </c>
      <c r="B786" t="s">
        <v>496</v>
      </c>
      <c r="C786" t="s">
        <v>19</v>
      </c>
      <c r="D786" s="1">
        <v>43477</v>
      </c>
      <c r="E786" s="1">
        <v>43841</v>
      </c>
      <c r="F786" t="s">
        <v>36</v>
      </c>
      <c r="G786">
        <v>13</v>
      </c>
      <c r="H786" t="s">
        <v>212</v>
      </c>
      <c r="I786" t="s">
        <v>22</v>
      </c>
      <c r="J786" t="s">
        <v>54</v>
      </c>
      <c r="K786" t="s">
        <v>66</v>
      </c>
      <c r="L786">
        <v>521.25</v>
      </c>
      <c r="M786" s="1">
        <v>43477</v>
      </c>
      <c r="N786" t="s">
        <v>24</v>
      </c>
      <c r="O786" t="s">
        <v>23</v>
      </c>
      <c r="Q786" s="1">
        <v>43852</v>
      </c>
    </row>
    <row r="787" spans="1:17" x14ac:dyDescent="0.5">
      <c r="A787" t="s">
        <v>200</v>
      </c>
      <c r="B787" t="s">
        <v>497</v>
      </c>
      <c r="C787" t="s">
        <v>19</v>
      </c>
      <c r="D787" s="1">
        <v>43477</v>
      </c>
      <c r="E787" s="1">
        <v>43841</v>
      </c>
      <c r="F787" t="s">
        <v>32</v>
      </c>
      <c r="G787">
        <v>13</v>
      </c>
      <c r="H787" t="s">
        <v>212</v>
      </c>
      <c r="I787" t="s">
        <v>22</v>
      </c>
      <c r="J787" t="s">
        <v>54</v>
      </c>
      <c r="K787" t="s">
        <v>28</v>
      </c>
      <c r="L787">
        <v>7889.31</v>
      </c>
      <c r="M787" s="1">
        <v>43477</v>
      </c>
      <c r="N787" t="s">
        <v>24</v>
      </c>
      <c r="O787" t="s">
        <v>23</v>
      </c>
      <c r="Q787" s="1">
        <v>43852</v>
      </c>
    </row>
    <row r="788" spans="1:17" x14ac:dyDescent="0.5">
      <c r="A788" t="s">
        <v>203</v>
      </c>
      <c r="B788">
        <v>33393</v>
      </c>
      <c r="C788" t="s">
        <v>31</v>
      </c>
      <c r="D788" s="1">
        <v>43405</v>
      </c>
      <c r="E788" s="1">
        <v>43769</v>
      </c>
      <c r="F788" t="s">
        <v>40</v>
      </c>
      <c r="G788">
        <v>10</v>
      </c>
      <c r="H788" t="s">
        <v>41</v>
      </c>
      <c r="I788" t="s">
        <v>22</v>
      </c>
      <c r="J788" t="s">
        <v>42</v>
      </c>
      <c r="K788" t="s">
        <v>23</v>
      </c>
      <c r="L788">
        <v>90307.75</v>
      </c>
      <c r="M788" s="1">
        <v>43405</v>
      </c>
      <c r="N788" t="s">
        <v>24</v>
      </c>
      <c r="O788" t="s">
        <v>25</v>
      </c>
      <c r="Q788" s="1">
        <v>43852</v>
      </c>
    </row>
    <row r="789" spans="1:17" x14ac:dyDescent="0.5">
      <c r="A789" t="s">
        <v>204</v>
      </c>
      <c r="B789">
        <v>3393</v>
      </c>
      <c r="C789" t="s">
        <v>19</v>
      </c>
      <c r="D789" s="1">
        <v>43770</v>
      </c>
      <c r="E789" s="1">
        <v>44135</v>
      </c>
      <c r="F789" t="s">
        <v>40</v>
      </c>
      <c r="G789">
        <v>10</v>
      </c>
      <c r="H789" t="s">
        <v>41</v>
      </c>
      <c r="I789" t="s">
        <v>22</v>
      </c>
      <c r="J789" t="s">
        <v>42</v>
      </c>
      <c r="K789" t="s">
        <v>23</v>
      </c>
      <c r="L789">
        <v>114751.5</v>
      </c>
      <c r="M789" s="1">
        <v>43770</v>
      </c>
      <c r="N789" t="s">
        <v>24</v>
      </c>
      <c r="O789" t="s">
        <v>23</v>
      </c>
      <c r="Q789" s="1">
        <v>43852</v>
      </c>
    </row>
    <row r="790" spans="1:17" x14ac:dyDescent="0.5">
      <c r="A790" t="s">
        <v>205</v>
      </c>
      <c r="B790">
        <v>2301001342</v>
      </c>
      <c r="C790" t="s">
        <v>19</v>
      </c>
      <c r="D790" s="1">
        <v>43405</v>
      </c>
      <c r="E790" s="1">
        <v>43769</v>
      </c>
      <c r="F790" t="s">
        <v>37</v>
      </c>
      <c r="G790">
        <v>3</v>
      </c>
      <c r="H790" t="s">
        <v>64</v>
      </c>
      <c r="I790" t="s">
        <v>22</v>
      </c>
      <c r="J790" t="s">
        <v>65</v>
      </c>
      <c r="K790" t="s">
        <v>23</v>
      </c>
      <c r="L790">
        <v>52751.13</v>
      </c>
      <c r="M790" s="1">
        <v>43405</v>
      </c>
      <c r="N790" t="s">
        <v>24</v>
      </c>
      <c r="O790" t="s">
        <v>25</v>
      </c>
      <c r="Q790" s="1">
        <v>43852</v>
      </c>
    </row>
    <row r="791" spans="1:17" x14ac:dyDescent="0.5">
      <c r="A791" t="s">
        <v>206</v>
      </c>
      <c r="B791">
        <v>2302002435</v>
      </c>
      <c r="C791" t="s">
        <v>19</v>
      </c>
      <c r="D791" s="1">
        <v>43405</v>
      </c>
      <c r="E791" s="1">
        <v>43769</v>
      </c>
      <c r="F791" t="s">
        <v>37</v>
      </c>
      <c r="G791">
        <v>3</v>
      </c>
      <c r="H791" t="s">
        <v>64</v>
      </c>
      <c r="I791" t="s">
        <v>22</v>
      </c>
      <c r="J791" t="s">
        <v>65</v>
      </c>
      <c r="K791" t="s">
        <v>23</v>
      </c>
      <c r="L791">
        <v>53125</v>
      </c>
      <c r="M791" s="1">
        <v>43405</v>
      </c>
      <c r="N791" t="s">
        <v>24</v>
      </c>
      <c r="O791" t="s">
        <v>25</v>
      </c>
      <c r="Q791" s="1">
        <v>43852</v>
      </c>
    </row>
    <row r="792" spans="1:17" x14ac:dyDescent="0.5">
      <c r="A792" t="s">
        <v>207</v>
      </c>
      <c r="B792" t="s">
        <v>498</v>
      </c>
      <c r="C792" t="s">
        <v>19</v>
      </c>
      <c r="D792" s="1">
        <v>43405</v>
      </c>
      <c r="E792" s="1">
        <v>43769</v>
      </c>
      <c r="F792" t="s">
        <v>36</v>
      </c>
      <c r="G792">
        <v>3</v>
      </c>
      <c r="H792" t="s">
        <v>64</v>
      </c>
      <c r="I792" t="s">
        <v>22</v>
      </c>
      <c r="J792" t="s">
        <v>65</v>
      </c>
      <c r="K792" t="s">
        <v>23</v>
      </c>
      <c r="L792">
        <v>359.13</v>
      </c>
      <c r="M792" s="1">
        <v>43405</v>
      </c>
      <c r="N792" t="s">
        <v>24</v>
      </c>
      <c r="O792" t="s">
        <v>25</v>
      </c>
      <c r="Q792" s="1">
        <v>43852</v>
      </c>
    </row>
    <row r="793" spans="1:17" x14ac:dyDescent="0.5">
      <c r="A793" t="s">
        <v>208</v>
      </c>
      <c r="B793" t="s">
        <v>499</v>
      </c>
      <c r="C793" t="s">
        <v>19</v>
      </c>
      <c r="D793" s="1">
        <v>43405</v>
      </c>
      <c r="E793" s="1">
        <v>43769</v>
      </c>
      <c r="F793" t="s">
        <v>36</v>
      </c>
      <c r="G793">
        <v>3</v>
      </c>
      <c r="H793" t="s">
        <v>64</v>
      </c>
      <c r="I793" t="s">
        <v>22</v>
      </c>
      <c r="J793" t="s">
        <v>65</v>
      </c>
      <c r="K793" t="s">
        <v>23</v>
      </c>
      <c r="L793">
        <v>0</v>
      </c>
      <c r="M793" s="1">
        <v>43405</v>
      </c>
      <c r="N793" t="s">
        <v>24</v>
      </c>
      <c r="O793" t="s">
        <v>25</v>
      </c>
      <c r="Q793" s="1">
        <v>43852</v>
      </c>
    </row>
    <row r="794" spans="1:17" x14ac:dyDescent="0.5">
      <c r="A794" t="s">
        <v>500</v>
      </c>
      <c r="B794" t="s">
        <v>501</v>
      </c>
      <c r="C794" t="s">
        <v>19</v>
      </c>
      <c r="D794" s="1">
        <v>43405</v>
      </c>
      <c r="E794" s="1">
        <v>43769</v>
      </c>
      <c r="F794" t="s">
        <v>37</v>
      </c>
      <c r="G794">
        <v>3</v>
      </c>
      <c r="H794" t="s">
        <v>64</v>
      </c>
      <c r="I794" t="s">
        <v>22</v>
      </c>
      <c r="J794" t="s">
        <v>65</v>
      </c>
      <c r="K794" t="s">
        <v>23</v>
      </c>
      <c r="L794">
        <v>0</v>
      </c>
      <c r="M794" s="1">
        <v>43405</v>
      </c>
      <c r="N794" t="s">
        <v>24</v>
      </c>
      <c r="O794" t="s">
        <v>25</v>
      </c>
      <c r="Q794" s="1">
        <v>43852</v>
      </c>
    </row>
    <row r="795" spans="1:17" x14ac:dyDescent="0.5">
      <c r="A795" t="s">
        <v>500</v>
      </c>
      <c r="B795" t="s">
        <v>502</v>
      </c>
      <c r="C795" t="s">
        <v>19</v>
      </c>
      <c r="D795" s="1">
        <v>43405</v>
      </c>
      <c r="E795" s="1">
        <v>43769</v>
      </c>
      <c r="F795" t="s">
        <v>32</v>
      </c>
      <c r="G795">
        <v>3</v>
      </c>
      <c r="H795" t="s">
        <v>64</v>
      </c>
      <c r="I795" t="s">
        <v>22</v>
      </c>
      <c r="J795" t="s">
        <v>65</v>
      </c>
      <c r="K795" t="s">
        <v>23</v>
      </c>
      <c r="L795">
        <v>0</v>
      </c>
      <c r="M795" s="1">
        <v>43405</v>
      </c>
      <c r="N795" t="s">
        <v>24</v>
      </c>
      <c r="O795" t="s">
        <v>25</v>
      </c>
      <c r="Q795" s="1">
        <v>43852</v>
      </c>
    </row>
    <row r="796" spans="1:17" x14ac:dyDescent="0.5">
      <c r="A796" t="s">
        <v>500</v>
      </c>
      <c r="B796">
        <v>54407334</v>
      </c>
      <c r="C796" t="s">
        <v>19</v>
      </c>
      <c r="D796" s="1">
        <v>43466</v>
      </c>
      <c r="E796" s="1">
        <v>43830</v>
      </c>
      <c r="F796" t="s">
        <v>40</v>
      </c>
      <c r="G796">
        <v>10</v>
      </c>
      <c r="H796" t="s">
        <v>41</v>
      </c>
      <c r="I796" t="s">
        <v>22</v>
      </c>
      <c r="J796" t="s">
        <v>42</v>
      </c>
      <c r="K796" t="s">
        <v>23</v>
      </c>
      <c r="L796">
        <v>23387.4</v>
      </c>
      <c r="M796" s="1">
        <v>43466</v>
      </c>
      <c r="N796" t="s">
        <v>24</v>
      </c>
      <c r="O796" t="s">
        <v>25</v>
      </c>
      <c r="Q796" s="1">
        <v>43852</v>
      </c>
    </row>
    <row r="797" spans="1:17" x14ac:dyDescent="0.5">
      <c r="A797" t="s">
        <v>500</v>
      </c>
      <c r="B797" t="s">
        <v>503</v>
      </c>
      <c r="C797" t="s">
        <v>19</v>
      </c>
      <c r="D797" s="1">
        <v>43466</v>
      </c>
      <c r="E797" s="1">
        <v>43830</v>
      </c>
      <c r="F797" t="s">
        <v>40</v>
      </c>
      <c r="G797">
        <v>10</v>
      </c>
      <c r="H797" t="s">
        <v>41</v>
      </c>
      <c r="I797" t="s">
        <v>22</v>
      </c>
      <c r="J797" t="s">
        <v>42</v>
      </c>
      <c r="K797" t="s">
        <v>23</v>
      </c>
      <c r="L797">
        <v>914998.58</v>
      </c>
      <c r="M797" s="1">
        <v>43466</v>
      </c>
      <c r="N797" t="s">
        <v>24</v>
      </c>
      <c r="O797" t="s">
        <v>45</v>
      </c>
      <c r="Q797" s="1">
        <v>43852</v>
      </c>
    </row>
    <row r="798" spans="1:17" x14ac:dyDescent="0.5">
      <c r="A798" t="s">
        <v>500</v>
      </c>
      <c r="B798" t="s">
        <v>503</v>
      </c>
      <c r="C798" t="s">
        <v>19</v>
      </c>
      <c r="D798" s="1">
        <v>43466</v>
      </c>
      <c r="E798" s="1">
        <v>43830</v>
      </c>
      <c r="F798" t="s">
        <v>40</v>
      </c>
      <c r="G798">
        <v>10</v>
      </c>
      <c r="H798" t="s">
        <v>41</v>
      </c>
      <c r="I798" t="s">
        <v>22</v>
      </c>
      <c r="J798" t="s">
        <v>42</v>
      </c>
      <c r="K798" t="s">
        <v>23</v>
      </c>
      <c r="L798">
        <v>93906.08</v>
      </c>
      <c r="M798" s="1">
        <v>43531</v>
      </c>
      <c r="N798" t="s">
        <v>47</v>
      </c>
      <c r="O798" t="s">
        <v>45</v>
      </c>
      <c r="Q798" s="1">
        <v>43852</v>
      </c>
    </row>
    <row r="799" spans="1:17" x14ac:dyDescent="0.5">
      <c r="A799" t="s">
        <v>500</v>
      </c>
      <c r="B799" t="s">
        <v>503</v>
      </c>
      <c r="C799" t="s">
        <v>19</v>
      </c>
      <c r="D799" s="1">
        <v>43466</v>
      </c>
      <c r="E799" s="1">
        <v>43830</v>
      </c>
      <c r="F799" t="s">
        <v>40</v>
      </c>
      <c r="G799">
        <v>10</v>
      </c>
      <c r="H799" t="s">
        <v>41</v>
      </c>
      <c r="I799" t="s">
        <v>22</v>
      </c>
      <c r="J799" t="s">
        <v>42</v>
      </c>
      <c r="K799" t="s">
        <v>23</v>
      </c>
      <c r="L799">
        <v>27435</v>
      </c>
      <c r="M799" s="1">
        <v>43488</v>
      </c>
      <c r="N799" t="s">
        <v>47</v>
      </c>
      <c r="O799" t="s">
        <v>45</v>
      </c>
      <c r="Q799" s="1">
        <v>43852</v>
      </c>
    </row>
    <row r="800" spans="1:17" x14ac:dyDescent="0.5">
      <c r="A800" t="s">
        <v>500</v>
      </c>
      <c r="B800" t="s">
        <v>503</v>
      </c>
      <c r="C800" t="s">
        <v>19</v>
      </c>
      <c r="D800" s="1">
        <v>43466</v>
      </c>
      <c r="E800" s="1">
        <v>43830</v>
      </c>
      <c r="F800" t="s">
        <v>40</v>
      </c>
      <c r="G800">
        <v>10</v>
      </c>
      <c r="H800" t="s">
        <v>41</v>
      </c>
      <c r="I800" t="s">
        <v>22</v>
      </c>
      <c r="J800" t="s">
        <v>42</v>
      </c>
      <c r="K800" t="s">
        <v>23</v>
      </c>
      <c r="L800">
        <v>32391.85</v>
      </c>
      <c r="M800" s="1">
        <v>43595</v>
      </c>
      <c r="N800" t="s">
        <v>47</v>
      </c>
      <c r="O800" t="s">
        <v>45</v>
      </c>
      <c r="Q800" s="1">
        <v>43852</v>
      </c>
    </row>
    <row r="801" spans="1:17" x14ac:dyDescent="0.5">
      <c r="A801" t="s">
        <v>500</v>
      </c>
      <c r="B801" t="s">
        <v>503</v>
      </c>
      <c r="C801" t="s">
        <v>19</v>
      </c>
      <c r="D801" s="1">
        <v>43466</v>
      </c>
      <c r="E801" s="1">
        <v>43830</v>
      </c>
      <c r="F801" t="s">
        <v>40</v>
      </c>
      <c r="G801">
        <v>10</v>
      </c>
      <c r="H801" t="s">
        <v>41</v>
      </c>
      <c r="I801" t="s">
        <v>22</v>
      </c>
      <c r="J801" t="s">
        <v>42</v>
      </c>
      <c r="K801" t="s">
        <v>23</v>
      </c>
      <c r="L801">
        <v>9941.16</v>
      </c>
      <c r="M801" s="1">
        <v>43656</v>
      </c>
      <c r="N801" t="s">
        <v>47</v>
      </c>
      <c r="O801" t="s">
        <v>45</v>
      </c>
      <c r="Q801" s="1">
        <v>43852</v>
      </c>
    </row>
    <row r="802" spans="1:17" x14ac:dyDescent="0.5">
      <c r="A802" t="s">
        <v>500</v>
      </c>
      <c r="B802" t="s">
        <v>503</v>
      </c>
      <c r="C802" t="s">
        <v>19</v>
      </c>
      <c r="D802" s="1">
        <v>43466</v>
      </c>
      <c r="E802" s="1">
        <v>43830</v>
      </c>
      <c r="F802" t="s">
        <v>40</v>
      </c>
      <c r="G802">
        <v>10</v>
      </c>
      <c r="H802" t="s">
        <v>41</v>
      </c>
      <c r="I802" t="s">
        <v>22</v>
      </c>
      <c r="J802" t="s">
        <v>42</v>
      </c>
      <c r="K802" t="s">
        <v>23</v>
      </c>
      <c r="L802">
        <v>27681.48</v>
      </c>
      <c r="M802" s="1">
        <v>43691</v>
      </c>
      <c r="N802" t="s">
        <v>47</v>
      </c>
      <c r="O802" t="s">
        <v>45</v>
      </c>
      <c r="Q802" s="1">
        <v>43852</v>
      </c>
    </row>
    <row r="803" spans="1:17" x14ac:dyDescent="0.5">
      <c r="A803" t="s">
        <v>500</v>
      </c>
      <c r="B803" t="s">
        <v>503</v>
      </c>
      <c r="C803" t="s">
        <v>19</v>
      </c>
      <c r="D803" s="1">
        <v>43466</v>
      </c>
      <c r="E803" s="1">
        <v>43830</v>
      </c>
      <c r="F803" t="s">
        <v>40</v>
      </c>
      <c r="G803">
        <v>10</v>
      </c>
      <c r="H803" t="s">
        <v>41</v>
      </c>
      <c r="I803" t="s">
        <v>22</v>
      </c>
      <c r="J803" t="s">
        <v>42</v>
      </c>
      <c r="K803" t="s">
        <v>23</v>
      </c>
      <c r="L803">
        <v>18901.02</v>
      </c>
      <c r="M803" s="1">
        <v>43722</v>
      </c>
      <c r="N803" t="s">
        <v>47</v>
      </c>
      <c r="O803" t="s">
        <v>45</v>
      </c>
      <c r="Q803" s="1">
        <v>43852</v>
      </c>
    </row>
    <row r="804" spans="1:17" x14ac:dyDescent="0.5">
      <c r="A804" t="s">
        <v>500</v>
      </c>
      <c r="B804" t="s">
        <v>503</v>
      </c>
      <c r="C804" t="s">
        <v>19</v>
      </c>
      <c r="D804" s="1">
        <v>43466</v>
      </c>
      <c r="E804" s="1">
        <v>43830</v>
      </c>
      <c r="F804" t="s">
        <v>40</v>
      </c>
      <c r="G804">
        <v>10</v>
      </c>
      <c r="H804" t="s">
        <v>41</v>
      </c>
      <c r="I804" t="s">
        <v>22</v>
      </c>
      <c r="J804" t="s">
        <v>42</v>
      </c>
      <c r="K804" t="s">
        <v>23</v>
      </c>
      <c r="L804">
        <v>46994.85</v>
      </c>
      <c r="M804" s="1">
        <v>43494</v>
      </c>
      <c r="N804" t="s">
        <v>47</v>
      </c>
      <c r="O804" t="s">
        <v>45</v>
      </c>
      <c r="Q804" s="1">
        <v>43852</v>
      </c>
    </row>
    <row r="805" spans="1:17" x14ac:dyDescent="0.5">
      <c r="A805" t="s">
        <v>500</v>
      </c>
      <c r="B805" t="s">
        <v>503</v>
      </c>
      <c r="C805" t="s">
        <v>19</v>
      </c>
      <c r="D805" s="1">
        <v>43466</v>
      </c>
      <c r="E805" s="1">
        <v>43830</v>
      </c>
      <c r="F805" t="s">
        <v>40</v>
      </c>
      <c r="G805">
        <v>10</v>
      </c>
      <c r="H805" t="s">
        <v>41</v>
      </c>
      <c r="I805" t="s">
        <v>22</v>
      </c>
      <c r="J805" t="s">
        <v>42</v>
      </c>
      <c r="K805" t="s">
        <v>23</v>
      </c>
      <c r="L805">
        <v>17139.5</v>
      </c>
      <c r="M805" s="1">
        <v>43749</v>
      </c>
      <c r="N805" t="s">
        <v>47</v>
      </c>
      <c r="O805" t="s">
        <v>45</v>
      </c>
      <c r="Q805" s="1">
        <v>43852</v>
      </c>
    </row>
    <row r="806" spans="1:17" x14ac:dyDescent="0.5">
      <c r="A806" t="s">
        <v>500</v>
      </c>
      <c r="B806" t="s">
        <v>503</v>
      </c>
      <c r="C806" t="s">
        <v>19</v>
      </c>
      <c r="D806" s="1">
        <v>43466</v>
      </c>
      <c r="E806" s="1">
        <v>43830</v>
      </c>
      <c r="F806" t="s">
        <v>40</v>
      </c>
      <c r="G806">
        <v>10</v>
      </c>
      <c r="H806" t="s">
        <v>41</v>
      </c>
      <c r="I806" t="s">
        <v>22</v>
      </c>
      <c r="J806" t="s">
        <v>42</v>
      </c>
      <c r="K806" t="s">
        <v>23</v>
      </c>
      <c r="L806">
        <v>8560.86</v>
      </c>
      <c r="M806" s="1">
        <v>43783</v>
      </c>
      <c r="N806" t="s">
        <v>47</v>
      </c>
      <c r="O806" t="s">
        <v>45</v>
      </c>
      <c r="Q806" s="1">
        <v>43852</v>
      </c>
    </row>
    <row r="807" spans="1:17" x14ac:dyDescent="0.5">
      <c r="A807" t="s">
        <v>500</v>
      </c>
      <c r="B807" t="s">
        <v>503</v>
      </c>
      <c r="C807" t="s">
        <v>19</v>
      </c>
      <c r="D807" s="1">
        <v>43466</v>
      </c>
      <c r="E807" s="1">
        <v>43830</v>
      </c>
      <c r="F807" t="s">
        <v>40</v>
      </c>
      <c r="G807">
        <v>10</v>
      </c>
      <c r="H807" t="s">
        <v>41</v>
      </c>
      <c r="I807" t="s">
        <v>22</v>
      </c>
      <c r="J807" t="s">
        <v>42</v>
      </c>
      <c r="K807" t="s">
        <v>23</v>
      </c>
      <c r="L807">
        <v>1288.6600000000001</v>
      </c>
      <c r="M807" s="1">
        <v>43802</v>
      </c>
      <c r="N807" t="s">
        <v>47</v>
      </c>
      <c r="O807" t="s">
        <v>45</v>
      </c>
      <c r="Q807" s="1">
        <v>43852</v>
      </c>
    </row>
    <row r="808" spans="1:17" x14ac:dyDescent="0.5">
      <c r="A808" t="s">
        <v>500</v>
      </c>
      <c r="B808" t="s">
        <v>503</v>
      </c>
      <c r="C808" t="s">
        <v>19</v>
      </c>
      <c r="D808" s="1">
        <v>43466</v>
      </c>
      <c r="E808" s="1">
        <v>43830</v>
      </c>
      <c r="F808" t="s">
        <v>40</v>
      </c>
      <c r="G808">
        <v>10</v>
      </c>
      <c r="H808" t="s">
        <v>41</v>
      </c>
      <c r="I808" t="s">
        <v>22</v>
      </c>
      <c r="J808" t="s">
        <v>42</v>
      </c>
      <c r="K808" t="s">
        <v>23</v>
      </c>
      <c r="L808">
        <v>1208.3800000000001</v>
      </c>
      <c r="M808" s="1">
        <v>43818</v>
      </c>
      <c r="N808" t="s">
        <v>47</v>
      </c>
      <c r="O808" t="s">
        <v>45</v>
      </c>
      <c r="Q808" s="1">
        <v>43852</v>
      </c>
    </row>
    <row r="809" spans="1:17" x14ac:dyDescent="0.5">
      <c r="A809" t="s">
        <v>500</v>
      </c>
      <c r="B809" t="s">
        <v>503</v>
      </c>
      <c r="C809" t="s">
        <v>19</v>
      </c>
      <c r="D809" s="1">
        <v>43466</v>
      </c>
      <c r="E809" s="1">
        <v>43830</v>
      </c>
      <c r="F809" t="s">
        <v>40</v>
      </c>
      <c r="G809">
        <v>10</v>
      </c>
      <c r="H809" t="s">
        <v>41</v>
      </c>
      <c r="I809" t="s">
        <v>22</v>
      </c>
      <c r="J809" t="s">
        <v>42</v>
      </c>
      <c r="K809" t="s">
        <v>23</v>
      </c>
      <c r="L809">
        <v>18696.68</v>
      </c>
      <c r="M809" s="1">
        <v>43535</v>
      </c>
      <c r="N809" t="s">
        <v>47</v>
      </c>
      <c r="O809" t="s">
        <v>45</v>
      </c>
      <c r="Q809" s="1">
        <v>43852</v>
      </c>
    </row>
    <row r="810" spans="1:17" x14ac:dyDescent="0.5">
      <c r="A810" t="s">
        <v>500</v>
      </c>
      <c r="B810" t="s">
        <v>504</v>
      </c>
      <c r="C810" t="s">
        <v>19</v>
      </c>
      <c r="D810" s="1">
        <v>43466</v>
      </c>
      <c r="E810" s="1">
        <v>43830</v>
      </c>
      <c r="F810" t="s">
        <v>40</v>
      </c>
      <c r="G810">
        <v>10</v>
      </c>
      <c r="H810" t="s">
        <v>41</v>
      </c>
      <c r="I810" t="s">
        <v>22</v>
      </c>
      <c r="J810" t="s">
        <v>42</v>
      </c>
      <c r="K810" t="s">
        <v>23</v>
      </c>
      <c r="L810">
        <v>49788.75</v>
      </c>
      <c r="M810" s="1">
        <v>43466</v>
      </c>
      <c r="N810" t="s">
        <v>24</v>
      </c>
      <c r="O810" t="s">
        <v>45</v>
      </c>
      <c r="Q810" s="1">
        <v>43852</v>
      </c>
    </row>
    <row r="811" spans="1:17" x14ac:dyDescent="0.5">
      <c r="A811" t="s">
        <v>500</v>
      </c>
      <c r="B811" t="s">
        <v>504</v>
      </c>
      <c r="C811" t="s">
        <v>19</v>
      </c>
      <c r="D811" s="1">
        <v>43466</v>
      </c>
      <c r="E811" s="1">
        <v>43830</v>
      </c>
      <c r="F811" t="s">
        <v>40</v>
      </c>
      <c r="G811">
        <v>10</v>
      </c>
      <c r="H811" t="s">
        <v>41</v>
      </c>
      <c r="I811" t="s">
        <v>22</v>
      </c>
      <c r="J811" t="s">
        <v>42</v>
      </c>
      <c r="K811" t="s">
        <v>23</v>
      </c>
      <c r="L811">
        <v>49026.75</v>
      </c>
      <c r="M811" s="1">
        <v>43494</v>
      </c>
      <c r="N811" t="s">
        <v>47</v>
      </c>
      <c r="O811" t="s">
        <v>45</v>
      </c>
      <c r="Q811" s="1">
        <v>43852</v>
      </c>
    </row>
    <row r="812" spans="1:17" x14ac:dyDescent="0.5">
      <c r="A812" t="s">
        <v>500</v>
      </c>
      <c r="B812" t="s">
        <v>504</v>
      </c>
      <c r="C812" t="s">
        <v>19</v>
      </c>
      <c r="D812" s="1">
        <v>43466</v>
      </c>
      <c r="E812" s="1">
        <v>43830</v>
      </c>
      <c r="F812" t="s">
        <v>40</v>
      </c>
      <c r="G812">
        <v>10</v>
      </c>
      <c r="H812" t="s">
        <v>41</v>
      </c>
      <c r="I812" t="s">
        <v>22</v>
      </c>
      <c r="J812" t="s">
        <v>42</v>
      </c>
      <c r="K812" t="s">
        <v>23</v>
      </c>
      <c r="L812">
        <v>1613.78</v>
      </c>
      <c r="M812" s="1">
        <v>43535</v>
      </c>
      <c r="N812" t="s">
        <v>47</v>
      </c>
      <c r="O812" t="s">
        <v>45</v>
      </c>
      <c r="Q812" s="1">
        <v>43852</v>
      </c>
    </row>
    <row r="813" spans="1:17" x14ac:dyDescent="0.5">
      <c r="A813" t="s">
        <v>500</v>
      </c>
      <c r="B813" t="s">
        <v>504</v>
      </c>
      <c r="C813" t="s">
        <v>19</v>
      </c>
      <c r="D813" s="1">
        <v>43466</v>
      </c>
      <c r="E813" s="1">
        <v>43830</v>
      </c>
      <c r="F813" t="s">
        <v>40</v>
      </c>
      <c r="G813">
        <v>10</v>
      </c>
      <c r="H813" t="s">
        <v>41</v>
      </c>
      <c r="I813" t="s">
        <v>22</v>
      </c>
      <c r="J813" t="s">
        <v>42</v>
      </c>
      <c r="K813" t="s">
        <v>23</v>
      </c>
      <c r="L813">
        <v>49026.66</v>
      </c>
      <c r="M813" s="1">
        <v>43500</v>
      </c>
      <c r="N813" t="s">
        <v>47</v>
      </c>
      <c r="O813" t="s">
        <v>45</v>
      </c>
      <c r="Q813" s="1">
        <v>43852</v>
      </c>
    </row>
    <row r="814" spans="1:17" x14ac:dyDescent="0.5">
      <c r="A814" t="s">
        <v>500</v>
      </c>
      <c r="B814" t="s">
        <v>505</v>
      </c>
      <c r="C814" t="s">
        <v>19</v>
      </c>
      <c r="D814" s="1">
        <v>43259</v>
      </c>
      <c r="E814" s="1">
        <v>43623</v>
      </c>
      <c r="F814" t="s">
        <v>36</v>
      </c>
      <c r="G814">
        <v>3</v>
      </c>
      <c r="H814" t="s">
        <v>64</v>
      </c>
      <c r="I814" t="s">
        <v>22</v>
      </c>
      <c r="J814" t="s">
        <v>42</v>
      </c>
      <c r="K814" t="s">
        <v>23</v>
      </c>
      <c r="L814">
        <v>8117.5</v>
      </c>
      <c r="M814" s="1">
        <v>43259</v>
      </c>
      <c r="N814" t="s">
        <v>24</v>
      </c>
      <c r="O814" t="s">
        <v>25</v>
      </c>
      <c r="Q814" s="1">
        <v>43852</v>
      </c>
    </row>
    <row r="815" spans="1:17" x14ac:dyDescent="0.5">
      <c r="A815" t="s">
        <v>500</v>
      </c>
      <c r="B815" t="s">
        <v>506</v>
      </c>
      <c r="C815" t="s">
        <v>19</v>
      </c>
      <c r="D815" s="1">
        <v>43254</v>
      </c>
      <c r="E815" s="1">
        <v>43618</v>
      </c>
      <c r="F815" t="s">
        <v>20</v>
      </c>
      <c r="G815">
        <v>3</v>
      </c>
      <c r="H815" t="s">
        <v>64</v>
      </c>
      <c r="I815" t="s">
        <v>22</v>
      </c>
      <c r="J815" t="s">
        <v>65</v>
      </c>
      <c r="K815" t="s">
        <v>23</v>
      </c>
      <c r="L815">
        <v>21614.86</v>
      </c>
      <c r="M815" s="1">
        <v>43254</v>
      </c>
      <c r="N815" t="s">
        <v>24</v>
      </c>
      <c r="O815" t="s">
        <v>25</v>
      </c>
      <c r="Q815" s="1">
        <v>43852</v>
      </c>
    </row>
    <row r="816" spans="1:17" x14ac:dyDescent="0.5">
      <c r="A816" t="s">
        <v>500</v>
      </c>
      <c r="B816">
        <v>2640009793</v>
      </c>
      <c r="C816" t="s">
        <v>19</v>
      </c>
      <c r="D816" s="1">
        <v>43254</v>
      </c>
      <c r="E816" s="1">
        <v>43618</v>
      </c>
      <c r="F816" t="s">
        <v>202</v>
      </c>
      <c r="G816">
        <v>3</v>
      </c>
      <c r="H816" t="s">
        <v>64</v>
      </c>
      <c r="I816" t="s">
        <v>22</v>
      </c>
      <c r="J816" t="s">
        <v>65</v>
      </c>
      <c r="K816" t="s">
        <v>23</v>
      </c>
      <c r="L816">
        <v>60990.71</v>
      </c>
      <c r="M816" s="1">
        <v>43254</v>
      </c>
      <c r="N816" t="s">
        <v>24</v>
      </c>
      <c r="O816" t="s">
        <v>25</v>
      </c>
      <c r="Q816" s="1">
        <v>43852</v>
      </c>
    </row>
    <row r="817" spans="1:17" x14ac:dyDescent="0.5">
      <c r="A817" t="s">
        <v>500</v>
      </c>
      <c r="B817" t="s">
        <v>507</v>
      </c>
      <c r="C817" t="s">
        <v>19</v>
      </c>
      <c r="D817" s="1">
        <v>43191</v>
      </c>
      <c r="E817" s="1">
        <v>43555</v>
      </c>
      <c r="F817" t="s">
        <v>36</v>
      </c>
      <c r="G817">
        <v>3</v>
      </c>
      <c r="H817" t="s">
        <v>64</v>
      </c>
      <c r="I817" t="s">
        <v>22</v>
      </c>
      <c r="J817" t="s">
        <v>65</v>
      </c>
      <c r="K817" t="s">
        <v>23</v>
      </c>
      <c r="L817">
        <v>423.9</v>
      </c>
      <c r="M817" s="1">
        <v>43191</v>
      </c>
      <c r="N817" t="s">
        <v>24</v>
      </c>
      <c r="O817" t="s">
        <v>25</v>
      </c>
      <c r="Q817" s="1">
        <v>43852</v>
      </c>
    </row>
    <row r="818" spans="1:17" x14ac:dyDescent="0.5">
      <c r="A818" t="s">
        <v>500</v>
      </c>
      <c r="B818" t="s">
        <v>507</v>
      </c>
      <c r="C818" t="s">
        <v>19</v>
      </c>
      <c r="D818" s="1">
        <v>43191</v>
      </c>
      <c r="E818" s="1">
        <v>43555</v>
      </c>
      <c r="F818" t="s">
        <v>36</v>
      </c>
      <c r="G818">
        <v>3</v>
      </c>
      <c r="H818" t="s">
        <v>64</v>
      </c>
      <c r="I818" t="s">
        <v>22</v>
      </c>
      <c r="J818" t="s">
        <v>65</v>
      </c>
      <c r="K818" t="s">
        <v>23</v>
      </c>
      <c r="L818">
        <v>105.98</v>
      </c>
      <c r="M818" s="1">
        <v>43191</v>
      </c>
      <c r="N818" t="s">
        <v>24</v>
      </c>
      <c r="O818" t="s">
        <v>25</v>
      </c>
      <c r="Q818" s="1">
        <v>43852</v>
      </c>
    </row>
    <row r="819" spans="1:17" x14ac:dyDescent="0.5">
      <c r="A819" t="s">
        <v>500</v>
      </c>
      <c r="B819" t="s">
        <v>508</v>
      </c>
      <c r="C819" t="s">
        <v>19</v>
      </c>
      <c r="D819" s="1">
        <v>43191</v>
      </c>
      <c r="E819" s="1">
        <v>43555</v>
      </c>
      <c r="F819" t="s">
        <v>36</v>
      </c>
      <c r="G819">
        <v>3</v>
      </c>
      <c r="H819" t="s">
        <v>64</v>
      </c>
      <c r="I819" t="s">
        <v>22</v>
      </c>
      <c r="J819" t="s">
        <v>65</v>
      </c>
      <c r="K819" t="s">
        <v>23</v>
      </c>
      <c r="L819">
        <v>1897.66</v>
      </c>
      <c r="M819" s="1">
        <v>43191</v>
      </c>
      <c r="N819" t="s">
        <v>24</v>
      </c>
      <c r="O819" t="s">
        <v>25</v>
      </c>
      <c r="Q819" s="1">
        <v>43852</v>
      </c>
    </row>
    <row r="820" spans="1:17" x14ac:dyDescent="0.5">
      <c r="A820" t="s">
        <v>500</v>
      </c>
      <c r="B820" t="s">
        <v>508</v>
      </c>
      <c r="C820" t="s">
        <v>19</v>
      </c>
      <c r="D820" s="1">
        <v>43191</v>
      </c>
      <c r="E820" s="1">
        <v>43555</v>
      </c>
      <c r="F820" t="s">
        <v>36</v>
      </c>
      <c r="G820">
        <v>3</v>
      </c>
      <c r="H820" t="s">
        <v>64</v>
      </c>
      <c r="I820" t="s">
        <v>22</v>
      </c>
      <c r="J820" t="s">
        <v>65</v>
      </c>
      <c r="K820" t="s">
        <v>23</v>
      </c>
      <c r="L820">
        <v>474.42</v>
      </c>
      <c r="M820" s="1">
        <v>43191</v>
      </c>
      <c r="N820" t="s">
        <v>24</v>
      </c>
      <c r="O820" t="s">
        <v>25</v>
      </c>
      <c r="Q820" s="1">
        <v>43852</v>
      </c>
    </row>
    <row r="821" spans="1:17" x14ac:dyDescent="0.5">
      <c r="A821" t="s">
        <v>500</v>
      </c>
      <c r="B821" t="s">
        <v>509</v>
      </c>
      <c r="C821" t="s">
        <v>19</v>
      </c>
      <c r="D821" s="1">
        <v>43191</v>
      </c>
      <c r="E821" s="1">
        <v>43555</v>
      </c>
      <c r="F821" t="s">
        <v>20</v>
      </c>
      <c r="G821">
        <v>3</v>
      </c>
      <c r="H821" t="s">
        <v>64</v>
      </c>
      <c r="I821" t="s">
        <v>22</v>
      </c>
      <c r="J821" t="s">
        <v>20</v>
      </c>
      <c r="K821" t="s">
        <v>23</v>
      </c>
      <c r="L821">
        <v>44063.25</v>
      </c>
      <c r="M821" s="1">
        <v>43191</v>
      </c>
      <c r="N821" t="s">
        <v>24</v>
      </c>
      <c r="O821" t="s">
        <v>25</v>
      </c>
      <c r="Q821" s="1">
        <v>43852</v>
      </c>
    </row>
    <row r="822" spans="1:17" x14ac:dyDescent="0.5">
      <c r="A822" t="s">
        <v>500</v>
      </c>
      <c r="B822" t="s">
        <v>510</v>
      </c>
      <c r="C822" t="s">
        <v>19</v>
      </c>
      <c r="D822" s="1">
        <v>43388</v>
      </c>
      <c r="E822" s="1">
        <v>43752</v>
      </c>
      <c r="F822" t="s">
        <v>32</v>
      </c>
      <c r="G822">
        <v>12</v>
      </c>
      <c r="H822" t="s">
        <v>83</v>
      </c>
      <c r="I822" t="s">
        <v>22</v>
      </c>
      <c r="J822" t="s">
        <v>65</v>
      </c>
      <c r="K822" t="s">
        <v>66</v>
      </c>
      <c r="L822">
        <v>16387.5</v>
      </c>
      <c r="M822" s="1">
        <v>43388</v>
      </c>
      <c r="N822" t="s">
        <v>24</v>
      </c>
      <c r="O822" t="s">
        <v>25</v>
      </c>
      <c r="Q822" s="1">
        <v>43852</v>
      </c>
    </row>
    <row r="823" spans="1:17" x14ac:dyDescent="0.5">
      <c r="A823" t="s">
        <v>500</v>
      </c>
      <c r="B823" t="s">
        <v>511</v>
      </c>
      <c r="C823" t="s">
        <v>19</v>
      </c>
      <c r="D823" s="1">
        <v>43191</v>
      </c>
      <c r="E823" s="1">
        <v>43555</v>
      </c>
      <c r="F823" t="s">
        <v>32</v>
      </c>
      <c r="G823">
        <v>3</v>
      </c>
      <c r="H823" t="s">
        <v>64</v>
      </c>
      <c r="I823" t="s">
        <v>22</v>
      </c>
      <c r="J823" t="s">
        <v>65</v>
      </c>
      <c r="K823" t="s">
        <v>23</v>
      </c>
      <c r="L823">
        <v>15899.07</v>
      </c>
      <c r="M823" s="1">
        <v>43191</v>
      </c>
      <c r="N823" t="s">
        <v>24</v>
      </c>
      <c r="O823" t="s">
        <v>25</v>
      </c>
      <c r="Q823" s="1">
        <v>43852</v>
      </c>
    </row>
    <row r="824" spans="1:17" x14ac:dyDescent="0.5">
      <c r="A824" t="s">
        <v>500</v>
      </c>
      <c r="B824" t="s">
        <v>511</v>
      </c>
      <c r="C824" t="s">
        <v>19</v>
      </c>
      <c r="D824" s="1">
        <v>43191</v>
      </c>
      <c r="E824" s="1">
        <v>43555</v>
      </c>
      <c r="F824" t="s">
        <v>32</v>
      </c>
      <c r="G824">
        <v>3</v>
      </c>
      <c r="H824" t="s">
        <v>64</v>
      </c>
      <c r="I824" t="s">
        <v>22</v>
      </c>
      <c r="J824" t="s">
        <v>65</v>
      </c>
      <c r="K824" t="s">
        <v>23</v>
      </c>
      <c r="L824">
        <v>3974.77</v>
      </c>
      <c r="M824" s="1">
        <v>43191</v>
      </c>
      <c r="N824" t="s">
        <v>24</v>
      </c>
      <c r="O824" t="s">
        <v>25</v>
      </c>
      <c r="Q824" s="1">
        <v>43852</v>
      </c>
    </row>
    <row r="825" spans="1:17" x14ac:dyDescent="0.5">
      <c r="A825" t="s">
        <v>500</v>
      </c>
      <c r="B825" t="s">
        <v>512</v>
      </c>
      <c r="C825" t="s">
        <v>19</v>
      </c>
      <c r="D825" s="1">
        <v>43191</v>
      </c>
      <c r="E825" s="1">
        <v>43555</v>
      </c>
      <c r="F825" t="s">
        <v>32</v>
      </c>
      <c r="G825">
        <v>3</v>
      </c>
      <c r="H825" t="s">
        <v>64</v>
      </c>
      <c r="I825" t="s">
        <v>22</v>
      </c>
      <c r="J825" t="s">
        <v>65</v>
      </c>
      <c r="K825" t="s">
        <v>23</v>
      </c>
      <c r="L825">
        <v>6120.48</v>
      </c>
      <c r="M825" s="1">
        <v>43191</v>
      </c>
      <c r="N825" t="s">
        <v>24</v>
      </c>
      <c r="O825" t="s">
        <v>25</v>
      </c>
      <c r="Q825" s="1">
        <v>43852</v>
      </c>
    </row>
    <row r="826" spans="1:17" x14ac:dyDescent="0.5">
      <c r="A826" t="s">
        <v>500</v>
      </c>
      <c r="B826" t="s">
        <v>512</v>
      </c>
      <c r="C826" t="s">
        <v>19</v>
      </c>
      <c r="D826" s="1">
        <v>43191</v>
      </c>
      <c r="E826" s="1">
        <v>43555</v>
      </c>
      <c r="F826" t="s">
        <v>32</v>
      </c>
      <c r="G826">
        <v>3</v>
      </c>
      <c r="H826" t="s">
        <v>64</v>
      </c>
      <c r="I826" t="s">
        <v>22</v>
      </c>
      <c r="J826" t="s">
        <v>65</v>
      </c>
      <c r="K826" t="s">
        <v>23</v>
      </c>
      <c r="L826">
        <v>1530.12</v>
      </c>
      <c r="M826" s="1">
        <v>43191</v>
      </c>
      <c r="N826" t="s">
        <v>24</v>
      </c>
      <c r="O826" t="s">
        <v>25</v>
      </c>
      <c r="Q826" s="1">
        <v>43852</v>
      </c>
    </row>
    <row r="827" spans="1:17" x14ac:dyDescent="0.5">
      <c r="A827" t="s">
        <v>500</v>
      </c>
      <c r="B827" t="s">
        <v>513</v>
      </c>
      <c r="C827" t="s">
        <v>19</v>
      </c>
      <c r="D827" s="1">
        <v>43191</v>
      </c>
      <c r="E827" s="1">
        <v>43555</v>
      </c>
      <c r="F827" t="s">
        <v>32</v>
      </c>
      <c r="G827">
        <v>3</v>
      </c>
      <c r="H827" t="s">
        <v>64</v>
      </c>
      <c r="I827" t="s">
        <v>22</v>
      </c>
      <c r="J827" t="s">
        <v>65</v>
      </c>
      <c r="K827" t="s">
        <v>23</v>
      </c>
      <c r="L827">
        <v>32171.200000000001</v>
      </c>
      <c r="M827" s="1">
        <v>43191</v>
      </c>
      <c r="N827" t="s">
        <v>24</v>
      </c>
      <c r="O827" t="s">
        <v>25</v>
      </c>
      <c r="Q827" s="1">
        <v>43852</v>
      </c>
    </row>
    <row r="828" spans="1:17" x14ac:dyDescent="0.5">
      <c r="A828" t="s">
        <v>500</v>
      </c>
      <c r="B828" t="s">
        <v>513</v>
      </c>
      <c r="C828" t="s">
        <v>19</v>
      </c>
      <c r="D828" s="1">
        <v>43191</v>
      </c>
      <c r="E828" s="1">
        <v>43555</v>
      </c>
      <c r="F828" t="s">
        <v>32</v>
      </c>
      <c r="G828">
        <v>3</v>
      </c>
      <c r="H828" t="s">
        <v>64</v>
      </c>
      <c r="I828" t="s">
        <v>22</v>
      </c>
      <c r="J828" t="s">
        <v>65</v>
      </c>
      <c r="K828" t="s">
        <v>23</v>
      </c>
      <c r="L828">
        <v>8042.8</v>
      </c>
      <c r="M828" s="1">
        <v>43191</v>
      </c>
      <c r="N828" t="s">
        <v>24</v>
      </c>
      <c r="O828" t="s">
        <v>25</v>
      </c>
      <c r="Q828" s="1">
        <v>43852</v>
      </c>
    </row>
    <row r="829" spans="1:17" x14ac:dyDescent="0.5">
      <c r="A829" t="s">
        <v>500</v>
      </c>
      <c r="B829" t="s">
        <v>514</v>
      </c>
      <c r="C829" t="s">
        <v>19</v>
      </c>
      <c r="D829" s="1">
        <v>43191</v>
      </c>
      <c r="E829" s="1">
        <v>43555</v>
      </c>
      <c r="F829" t="s">
        <v>36</v>
      </c>
      <c r="G829">
        <v>3</v>
      </c>
      <c r="H829" t="s">
        <v>64</v>
      </c>
      <c r="I829" t="s">
        <v>22</v>
      </c>
      <c r="J829" t="s">
        <v>65</v>
      </c>
      <c r="K829" t="s">
        <v>23</v>
      </c>
      <c r="L829">
        <v>2925</v>
      </c>
      <c r="M829" s="1">
        <v>43191</v>
      </c>
      <c r="N829" t="s">
        <v>24</v>
      </c>
      <c r="O829" t="s">
        <v>25</v>
      </c>
      <c r="Q829" s="1">
        <v>43852</v>
      </c>
    </row>
    <row r="830" spans="1:17" x14ac:dyDescent="0.5">
      <c r="A830" t="s">
        <v>500</v>
      </c>
      <c r="B830" t="s">
        <v>514</v>
      </c>
      <c r="C830" t="s">
        <v>19</v>
      </c>
      <c r="D830" s="1">
        <v>43191</v>
      </c>
      <c r="E830" s="1">
        <v>43555</v>
      </c>
      <c r="F830" t="s">
        <v>36</v>
      </c>
      <c r="G830">
        <v>3</v>
      </c>
      <c r="H830" t="s">
        <v>64</v>
      </c>
      <c r="I830" t="s">
        <v>22</v>
      </c>
      <c r="J830" t="s">
        <v>65</v>
      </c>
      <c r="K830" t="s">
        <v>23</v>
      </c>
      <c r="L830">
        <v>731.25</v>
      </c>
      <c r="M830" s="1">
        <v>43191</v>
      </c>
      <c r="N830" t="s">
        <v>24</v>
      </c>
      <c r="O830" t="s">
        <v>25</v>
      </c>
      <c r="Q830" s="1">
        <v>43852</v>
      </c>
    </row>
    <row r="831" spans="1:17" x14ac:dyDescent="0.5">
      <c r="A831" t="s">
        <v>500</v>
      </c>
      <c r="B831" t="s">
        <v>515</v>
      </c>
      <c r="C831" t="s">
        <v>19</v>
      </c>
      <c r="D831" s="1">
        <v>43191</v>
      </c>
      <c r="E831" s="1">
        <v>43555</v>
      </c>
      <c r="F831" t="s">
        <v>36</v>
      </c>
      <c r="G831">
        <v>3</v>
      </c>
      <c r="H831" t="s">
        <v>64</v>
      </c>
      <c r="I831" t="s">
        <v>22</v>
      </c>
      <c r="J831" t="s">
        <v>65</v>
      </c>
      <c r="K831" t="s">
        <v>23</v>
      </c>
      <c r="L831">
        <v>627</v>
      </c>
      <c r="M831" s="1">
        <v>43191</v>
      </c>
      <c r="N831" t="s">
        <v>24</v>
      </c>
      <c r="O831" t="s">
        <v>25</v>
      </c>
      <c r="Q831" s="1">
        <v>43852</v>
      </c>
    </row>
    <row r="832" spans="1:17" x14ac:dyDescent="0.5">
      <c r="A832" t="s">
        <v>500</v>
      </c>
      <c r="B832" t="s">
        <v>515</v>
      </c>
      <c r="C832" t="s">
        <v>19</v>
      </c>
      <c r="D832" s="1">
        <v>43191</v>
      </c>
      <c r="E832" s="1">
        <v>43555</v>
      </c>
      <c r="F832" t="s">
        <v>36</v>
      </c>
      <c r="G832">
        <v>3</v>
      </c>
      <c r="H832" t="s">
        <v>64</v>
      </c>
      <c r="I832" t="s">
        <v>22</v>
      </c>
      <c r="J832" t="s">
        <v>65</v>
      </c>
      <c r="K832" t="s">
        <v>23</v>
      </c>
      <c r="L832">
        <v>156.75</v>
      </c>
      <c r="M832" s="1">
        <v>43191</v>
      </c>
      <c r="N832" t="s">
        <v>24</v>
      </c>
      <c r="O832" t="s">
        <v>25</v>
      </c>
      <c r="Q832" s="1">
        <v>43852</v>
      </c>
    </row>
    <row r="833" spans="1:17" x14ac:dyDescent="0.5">
      <c r="A833" t="s">
        <v>500</v>
      </c>
      <c r="B833" t="s">
        <v>516</v>
      </c>
      <c r="C833" t="s">
        <v>19</v>
      </c>
      <c r="D833" s="1">
        <v>43191</v>
      </c>
      <c r="E833" s="1">
        <v>43555</v>
      </c>
      <c r="F833" t="s">
        <v>36</v>
      </c>
      <c r="G833">
        <v>3</v>
      </c>
      <c r="H833" t="s">
        <v>64</v>
      </c>
      <c r="I833" t="s">
        <v>22</v>
      </c>
      <c r="J833" t="s">
        <v>65</v>
      </c>
      <c r="K833" t="s">
        <v>23</v>
      </c>
      <c r="L833">
        <v>1186</v>
      </c>
      <c r="M833" s="1">
        <v>43191</v>
      </c>
      <c r="N833" t="s">
        <v>24</v>
      </c>
      <c r="O833" t="s">
        <v>25</v>
      </c>
      <c r="Q833" s="1">
        <v>43852</v>
      </c>
    </row>
    <row r="834" spans="1:17" x14ac:dyDescent="0.5">
      <c r="A834" t="s">
        <v>500</v>
      </c>
      <c r="B834" t="s">
        <v>517</v>
      </c>
      <c r="C834" t="s">
        <v>19</v>
      </c>
      <c r="D834" s="1">
        <v>43191</v>
      </c>
      <c r="E834" s="1">
        <v>43468</v>
      </c>
      <c r="F834" t="s">
        <v>36</v>
      </c>
      <c r="G834">
        <v>3</v>
      </c>
      <c r="H834" t="s">
        <v>64</v>
      </c>
      <c r="I834" t="s">
        <v>22</v>
      </c>
      <c r="J834" t="s">
        <v>65</v>
      </c>
      <c r="K834" t="s">
        <v>23</v>
      </c>
      <c r="L834">
        <v>465.9</v>
      </c>
      <c r="M834" s="1">
        <v>43191</v>
      </c>
      <c r="N834" t="s">
        <v>24</v>
      </c>
      <c r="O834" t="s">
        <v>25</v>
      </c>
      <c r="Q834" s="1">
        <v>43852</v>
      </c>
    </row>
    <row r="835" spans="1:17" x14ac:dyDescent="0.5">
      <c r="A835" t="s">
        <v>500</v>
      </c>
      <c r="B835" t="s">
        <v>517</v>
      </c>
      <c r="C835" t="s">
        <v>19</v>
      </c>
      <c r="D835" s="1">
        <v>43191</v>
      </c>
      <c r="E835" s="1">
        <v>43468</v>
      </c>
      <c r="F835" t="s">
        <v>36</v>
      </c>
      <c r="G835">
        <v>3</v>
      </c>
      <c r="H835" t="s">
        <v>64</v>
      </c>
      <c r="I835" t="s">
        <v>22</v>
      </c>
      <c r="J835" t="s">
        <v>65</v>
      </c>
      <c r="K835" t="s">
        <v>23</v>
      </c>
      <c r="L835">
        <v>116.48</v>
      </c>
      <c r="M835" s="1">
        <v>43191</v>
      </c>
      <c r="N835" t="s">
        <v>24</v>
      </c>
      <c r="O835" t="s">
        <v>25</v>
      </c>
      <c r="Q835" s="1">
        <v>43852</v>
      </c>
    </row>
    <row r="836" spans="1:17" x14ac:dyDescent="0.5">
      <c r="A836" t="s">
        <v>500</v>
      </c>
      <c r="B836" t="s">
        <v>518</v>
      </c>
      <c r="C836" t="s">
        <v>19</v>
      </c>
      <c r="D836" s="1">
        <v>43191</v>
      </c>
      <c r="E836" s="1">
        <v>43555</v>
      </c>
      <c r="F836" t="s">
        <v>36</v>
      </c>
      <c r="G836">
        <v>3</v>
      </c>
      <c r="H836" t="s">
        <v>64</v>
      </c>
      <c r="I836" t="s">
        <v>22</v>
      </c>
      <c r="J836" t="s">
        <v>65</v>
      </c>
      <c r="K836" t="s">
        <v>23</v>
      </c>
      <c r="L836">
        <v>3456.13</v>
      </c>
      <c r="M836" s="1">
        <v>43191</v>
      </c>
      <c r="N836" t="s">
        <v>24</v>
      </c>
      <c r="O836" t="s">
        <v>25</v>
      </c>
      <c r="Q836" s="1">
        <v>43852</v>
      </c>
    </row>
    <row r="837" spans="1:17" x14ac:dyDescent="0.5">
      <c r="A837" t="s">
        <v>500</v>
      </c>
      <c r="B837">
        <v>2.1300042180100002E+19</v>
      </c>
      <c r="C837" t="s">
        <v>31</v>
      </c>
      <c r="D837" s="1">
        <v>43191</v>
      </c>
      <c r="E837" s="1">
        <v>43555</v>
      </c>
      <c r="F837" t="s">
        <v>40</v>
      </c>
      <c r="G837">
        <v>10</v>
      </c>
      <c r="H837" t="s">
        <v>41</v>
      </c>
      <c r="I837" t="s">
        <v>22</v>
      </c>
      <c r="J837" t="s">
        <v>42</v>
      </c>
      <c r="K837" t="s">
        <v>23</v>
      </c>
      <c r="L837">
        <v>0</v>
      </c>
      <c r="M837" s="1">
        <v>43191</v>
      </c>
      <c r="N837" t="s">
        <v>24</v>
      </c>
      <c r="O837" t="s">
        <v>25</v>
      </c>
      <c r="Q837" s="1">
        <v>43852</v>
      </c>
    </row>
    <row r="838" spans="1:17" x14ac:dyDescent="0.5">
      <c r="A838" t="s">
        <v>500</v>
      </c>
      <c r="B838" t="s">
        <v>519</v>
      </c>
      <c r="C838" t="s">
        <v>19</v>
      </c>
      <c r="D838" s="1">
        <v>43229</v>
      </c>
      <c r="E838" s="1">
        <v>43593</v>
      </c>
      <c r="F838" t="s">
        <v>32</v>
      </c>
      <c r="G838">
        <v>3</v>
      </c>
      <c r="H838" t="s">
        <v>64</v>
      </c>
      <c r="I838" t="s">
        <v>22</v>
      </c>
      <c r="J838" t="s">
        <v>65</v>
      </c>
      <c r="K838" t="s">
        <v>23</v>
      </c>
      <c r="L838">
        <v>976.81</v>
      </c>
      <c r="M838" s="1">
        <v>43229</v>
      </c>
      <c r="N838" t="s">
        <v>24</v>
      </c>
      <c r="O838" t="s">
        <v>25</v>
      </c>
      <c r="Q838" s="1">
        <v>43852</v>
      </c>
    </row>
    <row r="839" spans="1:17" x14ac:dyDescent="0.5">
      <c r="A839" t="s">
        <v>500</v>
      </c>
      <c r="B839" t="s">
        <v>520</v>
      </c>
      <c r="C839" t="s">
        <v>31</v>
      </c>
      <c r="D839" s="1">
        <v>43295</v>
      </c>
      <c r="E839" s="1">
        <v>43659</v>
      </c>
      <c r="F839" t="s">
        <v>40</v>
      </c>
      <c r="G839">
        <v>10</v>
      </c>
      <c r="H839" t="s">
        <v>41</v>
      </c>
      <c r="I839" t="s">
        <v>22</v>
      </c>
      <c r="J839" t="s">
        <v>42</v>
      </c>
      <c r="K839" t="s">
        <v>23</v>
      </c>
      <c r="L839">
        <v>26250</v>
      </c>
      <c r="M839" s="1">
        <v>43295</v>
      </c>
      <c r="N839" t="s">
        <v>24</v>
      </c>
      <c r="O839" t="s">
        <v>25</v>
      </c>
      <c r="Q839" s="1">
        <v>43852</v>
      </c>
    </row>
    <row r="840" spans="1:17" x14ac:dyDescent="0.5">
      <c r="A840" t="s">
        <v>500</v>
      </c>
      <c r="B840" t="s">
        <v>521</v>
      </c>
      <c r="C840" t="s">
        <v>19</v>
      </c>
      <c r="D840" s="1">
        <v>43660</v>
      </c>
      <c r="E840" s="1">
        <v>44025</v>
      </c>
      <c r="F840" t="s">
        <v>40</v>
      </c>
      <c r="G840">
        <v>10</v>
      </c>
      <c r="H840" t="s">
        <v>41</v>
      </c>
      <c r="I840" t="s">
        <v>22</v>
      </c>
      <c r="J840" t="s">
        <v>42</v>
      </c>
      <c r="K840" t="s">
        <v>23</v>
      </c>
      <c r="L840">
        <v>22245.75</v>
      </c>
      <c r="M840" s="1">
        <v>43660</v>
      </c>
      <c r="N840" t="s">
        <v>24</v>
      </c>
      <c r="O840" t="s">
        <v>23</v>
      </c>
      <c r="Q840" s="1">
        <v>43852</v>
      </c>
    </row>
    <row r="841" spans="1:17" x14ac:dyDescent="0.5">
      <c r="A841" t="s">
        <v>500</v>
      </c>
      <c r="B841" t="s">
        <v>522</v>
      </c>
      <c r="C841" t="s">
        <v>19</v>
      </c>
      <c r="D841" s="1">
        <v>43556</v>
      </c>
      <c r="E841" s="1">
        <v>43921</v>
      </c>
      <c r="F841" t="s">
        <v>40</v>
      </c>
      <c r="G841">
        <v>10</v>
      </c>
      <c r="H841" t="s">
        <v>41</v>
      </c>
      <c r="I841" t="s">
        <v>22</v>
      </c>
      <c r="J841" t="s">
        <v>42</v>
      </c>
      <c r="K841" t="s">
        <v>23</v>
      </c>
      <c r="L841">
        <v>3346.95</v>
      </c>
      <c r="M841" s="1">
        <v>43556</v>
      </c>
      <c r="N841" t="s">
        <v>24</v>
      </c>
      <c r="O841" t="s">
        <v>23</v>
      </c>
      <c r="Q841" s="1">
        <v>43852</v>
      </c>
    </row>
    <row r="842" spans="1:17" x14ac:dyDescent="0.5">
      <c r="A842" t="s">
        <v>500</v>
      </c>
      <c r="B842" t="s">
        <v>523</v>
      </c>
      <c r="C842" t="s">
        <v>31</v>
      </c>
      <c r="D842" s="1">
        <v>43304</v>
      </c>
      <c r="E842" s="1">
        <v>43666</v>
      </c>
      <c r="F842" t="s">
        <v>37</v>
      </c>
      <c r="G842">
        <v>3</v>
      </c>
      <c r="H842" t="s">
        <v>64</v>
      </c>
      <c r="I842" t="s">
        <v>22</v>
      </c>
      <c r="J842" t="s">
        <v>65</v>
      </c>
      <c r="K842" t="s">
        <v>23</v>
      </c>
      <c r="L842">
        <v>0</v>
      </c>
      <c r="M842" s="1">
        <v>43304</v>
      </c>
      <c r="N842" t="s">
        <v>24</v>
      </c>
      <c r="O842" t="s">
        <v>25</v>
      </c>
      <c r="Q842" s="1">
        <v>43852</v>
      </c>
    </row>
    <row r="843" spans="1:17" x14ac:dyDescent="0.5">
      <c r="A843" t="s">
        <v>500</v>
      </c>
      <c r="B843" t="s">
        <v>524</v>
      </c>
      <c r="C843" t="s">
        <v>19</v>
      </c>
      <c r="D843" s="1">
        <v>43669</v>
      </c>
      <c r="E843" s="1">
        <v>44032</v>
      </c>
      <c r="F843" t="s">
        <v>37</v>
      </c>
      <c r="G843">
        <v>3</v>
      </c>
      <c r="H843" t="s">
        <v>64</v>
      </c>
      <c r="I843" t="s">
        <v>22</v>
      </c>
      <c r="J843" t="s">
        <v>65</v>
      </c>
      <c r="K843" t="s">
        <v>23</v>
      </c>
      <c r="L843">
        <v>0</v>
      </c>
      <c r="M843" s="1">
        <v>43669</v>
      </c>
      <c r="N843" t="s">
        <v>24</v>
      </c>
      <c r="O843" t="s">
        <v>23</v>
      </c>
      <c r="Q843" s="1">
        <v>43852</v>
      </c>
    </row>
    <row r="844" spans="1:17" x14ac:dyDescent="0.5">
      <c r="A844" t="s">
        <v>500</v>
      </c>
      <c r="B844" t="s">
        <v>525</v>
      </c>
      <c r="C844" t="s">
        <v>19</v>
      </c>
      <c r="D844" s="1">
        <v>43466</v>
      </c>
      <c r="E844" s="1">
        <v>43830</v>
      </c>
      <c r="F844" t="s">
        <v>37</v>
      </c>
      <c r="G844">
        <v>3</v>
      </c>
      <c r="H844" t="s">
        <v>64</v>
      </c>
      <c r="I844" t="s">
        <v>22</v>
      </c>
      <c r="J844" t="s">
        <v>65</v>
      </c>
      <c r="K844" t="s">
        <v>23</v>
      </c>
      <c r="L844">
        <v>19910.88</v>
      </c>
      <c r="M844" s="1">
        <v>43466</v>
      </c>
      <c r="N844" t="s">
        <v>24</v>
      </c>
      <c r="O844" t="s">
        <v>45</v>
      </c>
      <c r="Q844" s="1">
        <v>43852</v>
      </c>
    </row>
    <row r="845" spans="1:17" x14ac:dyDescent="0.5">
      <c r="A845" t="s">
        <v>500</v>
      </c>
      <c r="B845" t="s">
        <v>525</v>
      </c>
      <c r="C845" t="s">
        <v>19</v>
      </c>
      <c r="D845" s="1">
        <v>43466</v>
      </c>
      <c r="E845" s="1">
        <v>43830</v>
      </c>
      <c r="F845" t="s">
        <v>37</v>
      </c>
      <c r="G845">
        <v>3</v>
      </c>
      <c r="H845" t="s">
        <v>64</v>
      </c>
      <c r="I845" t="s">
        <v>22</v>
      </c>
      <c r="J845" t="s">
        <v>65</v>
      </c>
      <c r="K845" t="s">
        <v>23</v>
      </c>
      <c r="L845">
        <v>2139.63</v>
      </c>
      <c r="M845" s="1">
        <v>43495</v>
      </c>
      <c r="N845" t="s">
        <v>47</v>
      </c>
      <c r="O845" t="s">
        <v>45</v>
      </c>
      <c r="Q845" s="1">
        <v>43852</v>
      </c>
    </row>
    <row r="846" spans="1:17" x14ac:dyDescent="0.5">
      <c r="A846" t="s">
        <v>500</v>
      </c>
      <c r="B846" t="s">
        <v>526</v>
      </c>
      <c r="C846" t="s">
        <v>31</v>
      </c>
      <c r="D846" s="1">
        <v>43101</v>
      </c>
      <c r="E846" s="1">
        <v>43465</v>
      </c>
      <c r="F846" t="s">
        <v>37</v>
      </c>
      <c r="G846">
        <v>3</v>
      </c>
      <c r="H846" t="s">
        <v>64</v>
      </c>
      <c r="I846" t="s">
        <v>22</v>
      </c>
      <c r="J846" t="s">
        <v>65</v>
      </c>
      <c r="K846" t="s">
        <v>23</v>
      </c>
      <c r="L846">
        <v>20814.38</v>
      </c>
      <c r="M846" s="1">
        <v>43101</v>
      </c>
      <c r="N846" t="s">
        <v>24</v>
      </c>
      <c r="O846" t="s">
        <v>25</v>
      </c>
      <c r="Q846" s="1">
        <v>43852</v>
      </c>
    </row>
    <row r="847" spans="1:17" x14ac:dyDescent="0.5">
      <c r="A847" t="s">
        <v>500</v>
      </c>
      <c r="B847" t="s">
        <v>527</v>
      </c>
      <c r="C847" t="s">
        <v>19</v>
      </c>
      <c r="D847" s="1">
        <v>43160</v>
      </c>
      <c r="E847" s="1">
        <v>43524</v>
      </c>
      <c r="F847" t="s">
        <v>20</v>
      </c>
      <c r="G847">
        <v>3</v>
      </c>
      <c r="H847" t="s">
        <v>64</v>
      </c>
      <c r="I847" t="s">
        <v>22</v>
      </c>
      <c r="J847" t="s">
        <v>65</v>
      </c>
      <c r="K847" t="s">
        <v>23</v>
      </c>
      <c r="L847">
        <v>126225</v>
      </c>
      <c r="M847" s="1">
        <v>43160</v>
      </c>
      <c r="N847" t="s">
        <v>24</v>
      </c>
      <c r="O847" t="s">
        <v>25</v>
      </c>
      <c r="Q847" s="1">
        <v>43852</v>
      </c>
    </row>
    <row r="848" spans="1:17" x14ac:dyDescent="0.5">
      <c r="A848" t="s">
        <v>500</v>
      </c>
      <c r="B848" t="s">
        <v>528</v>
      </c>
      <c r="C848" t="s">
        <v>31</v>
      </c>
      <c r="D848" s="1">
        <v>43160</v>
      </c>
      <c r="E848" s="1">
        <v>43524</v>
      </c>
      <c r="F848" t="s">
        <v>20</v>
      </c>
      <c r="G848">
        <v>3</v>
      </c>
      <c r="H848" t="s">
        <v>64</v>
      </c>
      <c r="I848" t="s">
        <v>22</v>
      </c>
      <c r="J848" t="s">
        <v>65</v>
      </c>
      <c r="K848" t="s">
        <v>23</v>
      </c>
      <c r="L848">
        <v>63112.5</v>
      </c>
      <c r="M848" s="1">
        <v>43160</v>
      </c>
      <c r="N848" t="s">
        <v>24</v>
      </c>
      <c r="O848" t="s">
        <v>25</v>
      </c>
      <c r="Q848" s="1">
        <v>43852</v>
      </c>
    </row>
    <row r="849" spans="1:17" x14ac:dyDescent="0.5">
      <c r="A849" t="s">
        <v>500</v>
      </c>
      <c r="B849" t="s">
        <v>529</v>
      </c>
      <c r="C849" t="s">
        <v>19</v>
      </c>
      <c r="D849" s="1">
        <v>43525</v>
      </c>
      <c r="E849" s="1">
        <v>43890</v>
      </c>
      <c r="F849" t="s">
        <v>20</v>
      </c>
      <c r="G849">
        <v>3</v>
      </c>
      <c r="H849" t="s">
        <v>64</v>
      </c>
      <c r="I849" t="s">
        <v>22</v>
      </c>
      <c r="J849" t="s">
        <v>65</v>
      </c>
      <c r="K849" t="s">
        <v>23</v>
      </c>
      <c r="L849">
        <v>148500</v>
      </c>
      <c r="M849" s="1">
        <v>43525</v>
      </c>
      <c r="N849" t="s">
        <v>24</v>
      </c>
      <c r="O849" t="s">
        <v>23</v>
      </c>
      <c r="Q849" s="1">
        <v>43852</v>
      </c>
    </row>
    <row r="850" spans="1:17" x14ac:dyDescent="0.5">
      <c r="A850" t="s">
        <v>500</v>
      </c>
      <c r="B850">
        <v>12031703</v>
      </c>
      <c r="C850" t="s">
        <v>19</v>
      </c>
      <c r="D850" s="1">
        <v>43281</v>
      </c>
      <c r="E850" s="1">
        <v>43645</v>
      </c>
      <c r="F850" t="s">
        <v>32</v>
      </c>
      <c r="G850">
        <v>1</v>
      </c>
      <c r="H850" t="s">
        <v>21</v>
      </c>
      <c r="I850" t="s">
        <v>22</v>
      </c>
      <c r="J850" t="s">
        <v>54</v>
      </c>
      <c r="K850" t="s">
        <v>23</v>
      </c>
      <c r="L850">
        <v>39762.71</v>
      </c>
      <c r="M850" s="1">
        <v>43281</v>
      </c>
      <c r="N850" t="s">
        <v>24</v>
      </c>
      <c r="O850" t="s">
        <v>25</v>
      </c>
      <c r="Q850" s="1">
        <v>43852</v>
      </c>
    </row>
    <row r="851" spans="1:17" x14ac:dyDescent="0.5">
      <c r="A851" t="s">
        <v>500</v>
      </c>
      <c r="B851">
        <v>2.4142025629033999E+18</v>
      </c>
      <c r="C851" t="s">
        <v>19</v>
      </c>
      <c r="D851" s="1">
        <v>43448</v>
      </c>
      <c r="E851" s="1">
        <v>43812</v>
      </c>
      <c r="F851" t="s">
        <v>20</v>
      </c>
      <c r="G851">
        <v>2</v>
      </c>
      <c r="H851" t="s">
        <v>27</v>
      </c>
      <c r="I851" t="s">
        <v>22</v>
      </c>
      <c r="J851" t="s">
        <v>20</v>
      </c>
      <c r="K851" t="s">
        <v>66</v>
      </c>
      <c r="L851">
        <v>28050</v>
      </c>
      <c r="M851" s="1">
        <v>43448</v>
      </c>
      <c r="N851" t="s">
        <v>24</v>
      </c>
      <c r="O851" t="s">
        <v>45</v>
      </c>
      <c r="Q851" s="1">
        <v>43852</v>
      </c>
    </row>
    <row r="852" spans="1:17" x14ac:dyDescent="0.5">
      <c r="A852" t="s">
        <v>500</v>
      </c>
      <c r="B852">
        <v>2.4142025629033999E+18</v>
      </c>
      <c r="C852" t="s">
        <v>19</v>
      </c>
      <c r="D852" s="1">
        <v>43448</v>
      </c>
      <c r="E852" s="1">
        <v>43812</v>
      </c>
      <c r="F852" t="s">
        <v>20</v>
      </c>
      <c r="G852">
        <v>2</v>
      </c>
      <c r="H852" t="s">
        <v>27</v>
      </c>
      <c r="I852" t="s">
        <v>22</v>
      </c>
      <c r="J852" t="s">
        <v>20</v>
      </c>
      <c r="K852" t="s">
        <v>66</v>
      </c>
      <c r="L852">
        <v>56100</v>
      </c>
      <c r="M852" s="1">
        <v>43532</v>
      </c>
      <c r="N852" t="s">
        <v>47</v>
      </c>
      <c r="O852" t="s">
        <v>45</v>
      </c>
      <c r="Q852" s="1">
        <v>43852</v>
      </c>
    </row>
    <row r="853" spans="1:17" x14ac:dyDescent="0.5">
      <c r="A853" t="s">
        <v>500</v>
      </c>
      <c r="B853">
        <v>2.4142025629033999E+18</v>
      </c>
      <c r="C853" t="s">
        <v>19</v>
      </c>
      <c r="D853" s="1">
        <v>43448</v>
      </c>
      <c r="E853" s="1">
        <v>43812</v>
      </c>
      <c r="F853" t="s">
        <v>20</v>
      </c>
      <c r="G853">
        <v>2</v>
      </c>
      <c r="H853" t="s">
        <v>27</v>
      </c>
      <c r="I853" t="s">
        <v>22</v>
      </c>
      <c r="J853" t="s">
        <v>20</v>
      </c>
      <c r="K853" t="s">
        <v>66</v>
      </c>
      <c r="L853">
        <v>14025</v>
      </c>
      <c r="M853" s="1">
        <v>43760</v>
      </c>
      <c r="N853" t="s">
        <v>47</v>
      </c>
      <c r="O853" t="s">
        <v>45</v>
      </c>
      <c r="Q853" s="1">
        <v>43852</v>
      </c>
    </row>
    <row r="854" spans="1:17" x14ac:dyDescent="0.5">
      <c r="A854" t="s">
        <v>500</v>
      </c>
      <c r="B854">
        <v>41040284</v>
      </c>
      <c r="C854" t="s">
        <v>31</v>
      </c>
      <c r="D854" s="1">
        <v>43199</v>
      </c>
      <c r="E854" s="1">
        <v>43563</v>
      </c>
      <c r="F854" t="s">
        <v>37</v>
      </c>
      <c r="G854">
        <v>11</v>
      </c>
      <c r="H854" t="s">
        <v>138</v>
      </c>
      <c r="I854" t="s">
        <v>22</v>
      </c>
      <c r="J854" t="s">
        <v>37</v>
      </c>
      <c r="K854" t="s">
        <v>23</v>
      </c>
      <c r="L854">
        <v>59851.63</v>
      </c>
      <c r="M854" s="1">
        <v>43199</v>
      </c>
      <c r="N854" t="s">
        <v>24</v>
      </c>
      <c r="O854" t="s">
        <v>25</v>
      </c>
      <c r="Q854" s="1">
        <v>43852</v>
      </c>
    </row>
    <row r="855" spans="1:17" x14ac:dyDescent="0.5">
      <c r="A855" t="s">
        <v>500</v>
      </c>
      <c r="B855">
        <v>41046110</v>
      </c>
      <c r="C855" t="s">
        <v>19</v>
      </c>
      <c r="D855" s="1">
        <v>43564</v>
      </c>
      <c r="E855" s="1">
        <v>43929</v>
      </c>
      <c r="F855" t="s">
        <v>37</v>
      </c>
      <c r="G855">
        <v>1</v>
      </c>
      <c r="H855" t="s">
        <v>21</v>
      </c>
      <c r="I855" t="s">
        <v>22</v>
      </c>
      <c r="J855" t="s">
        <v>37</v>
      </c>
      <c r="K855" t="s">
        <v>23</v>
      </c>
      <c r="L855">
        <v>74250</v>
      </c>
      <c r="M855" s="1">
        <v>43564</v>
      </c>
      <c r="N855" t="s">
        <v>24</v>
      </c>
      <c r="O855" t="s">
        <v>25</v>
      </c>
      <c r="Q855" s="1">
        <v>43852</v>
      </c>
    </row>
    <row r="856" spans="1:17" x14ac:dyDescent="0.5">
      <c r="A856" t="s">
        <v>500</v>
      </c>
      <c r="B856" t="s">
        <v>530</v>
      </c>
      <c r="C856" t="s">
        <v>19</v>
      </c>
      <c r="D856" s="1">
        <v>43564</v>
      </c>
      <c r="E856" s="1">
        <v>43929</v>
      </c>
      <c r="F856" t="s">
        <v>37</v>
      </c>
      <c r="G856">
        <v>11</v>
      </c>
      <c r="H856" t="s">
        <v>138</v>
      </c>
      <c r="I856" t="s">
        <v>22</v>
      </c>
      <c r="J856" t="s">
        <v>37</v>
      </c>
      <c r="K856" t="s">
        <v>23</v>
      </c>
      <c r="L856">
        <v>68125</v>
      </c>
      <c r="M856" s="1">
        <v>43564</v>
      </c>
      <c r="N856" t="s">
        <v>24</v>
      </c>
      <c r="O856" t="s">
        <v>23</v>
      </c>
      <c r="Q856" s="1">
        <v>43852</v>
      </c>
    </row>
    <row r="857" spans="1:17" x14ac:dyDescent="0.5">
      <c r="A857" t="s">
        <v>26</v>
      </c>
      <c r="B857">
        <v>2.1300036181700002E+19</v>
      </c>
      <c r="C857" t="s">
        <v>31</v>
      </c>
      <c r="D857" s="1">
        <v>43191</v>
      </c>
      <c r="E857" s="1">
        <v>43555</v>
      </c>
      <c r="F857" t="s">
        <v>37</v>
      </c>
      <c r="G857">
        <v>6</v>
      </c>
      <c r="H857" t="s">
        <v>104</v>
      </c>
      <c r="I857" t="s">
        <v>22</v>
      </c>
      <c r="J857" t="s">
        <v>37</v>
      </c>
      <c r="K857" t="s">
        <v>28</v>
      </c>
      <c r="L857">
        <v>117812.5</v>
      </c>
      <c r="M857" s="1">
        <v>43191</v>
      </c>
      <c r="N857" t="s">
        <v>24</v>
      </c>
      <c r="O857" t="s">
        <v>25</v>
      </c>
      <c r="Q857" s="1">
        <v>43852</v>
      </c>
    </row>
    <row r="858" spans="1:17" x14ac:dyDescent="0.5">
      <c r="A858" t="s">
        <v>29</v>
      </c>
      <c r="B858">
        <v>2.1300036191700001E+19</v>
      </c>
      <c r="C858" t="s">
        <v>19</v>
      </c>
      <c r="D858" s="1">
        <v>43556</v>
      </c>
      <c r="E858" s="1">
        <v>43921</v>
      </c>
      <c r="F858" t="s">
        <v>37</v>
      </c>
      <c r="G858">
        <v>6</v>
      </c>
      <c r="H858" t="s">
        <v>104</v>
      </c>
      <c r="I858" t="s">
        <v>22</v>
      </c>
      <c r="J858" t="s">
        <v>37</v>
      </c>
      <c r="K858" t="s">
        <v>23</v>
      </c>
      <c r="L858">
        <v>115625</v>
      </c>
      <c r="M858" s="1">
        <v>43556</v>
      </c>
      <c r="N858" t="s">
        <v>24</v>
      </c>
      <c r="O858" t="s">
        <v>23</v>
      </c>
      <c r="Q858" s="1">
        <v>43852</v>
      </c>
    </row>
    <row r="859" spans="1:17" x14ac:dyDescent="0.5">
      <c r="A859" t="s">
        <v>34</v>
      </c>
      <c r="B859" t="s">
        <v>531</v>
      </c>
      <c r="C859" t="s">
        <v>19</v>
      </c>
      <c r="D859" s="1">
        <v>43588</v>
      </c>
      <c r="E859" s="1">
        <v>43953</v>
      </c>
      <c r="F859" t="s">
        <v>32</v>
      </c>
      <c r="G859">
        <v>1</v>
      </c>
      <c r="H859" t="s">
        <v>21</v>
      </c>
      <c r="I859" t="s">
        <v>22</v>
      </c>
      <c r="J859" t="s">
        <v>37</v>
      </c>
      <c r="K859" t="s">
        <v>23</v>
      </c>
      <c r="L859">
        <v>10427</v>
      </c>
      <c r="M859" s="1">
        <v>43588</v>
      </c>
      <c r="N859" t="s">
        <v>24</v>
      </c>
      <c r="O859" t="s">
        <v>25</v>
      </c>
      <c r="Q859" s="1">
        <v>43852</v>
      </c>
    </row>
    <row r="860" spans="1:17" x14ac:dyDescent="0.5">
      <c r="A860" t="s">
        <v>35</v>
      </c>
      <c r="B860">
        <v>43168456</v>
      </c>
      <c r="C860" t="s">
        <v>31</v>
      </c>
      <c r="D860" s="1">
        <v>43254</v>
      </c>
      <c r="E860" s="1">
        <v>43618</v>
      </c>
      <c r="F860" t="s">
        <v>37</v>
      </c>
      <c r="G860">
        <v>13</v>
      </c>
      <c r="H860" t="s">
        <v>212</v>
      </c>
      <c r="I860" t="s">
        <v>22</v>
      </c>
      <c r="J860" t="s">
        <v>37</v>
      </c>
      <c r="K860" t="s">
        <v>23</v>
      </c>
      <c r="L860">
        <v>2930.9</v>
      </c>
      <c r="M860" s="1">
        <v>43254</v>
      </c>
      <c r="N860" t="s">
        <v>24</v>
      </c>
      <c r="O860" t="s">
        <v>25</v>
      </c>
      <c r="Q860" s="1">
        <v>43852</v>
      </c>
    </row>
    <row r="861" spans="1:17" x14ac:dyDescent="0.5">
      <c r="A861" t="s">
        <v>38</v>
      </c>
      <c r="B861">
        <v>43191787</v>
      </c>
      <c r="C861" t="s">
        <v>19</v>
      </c>
      <c r="D861" s="1">
        <v>43649</v>
      </c>
      <c r="E861" s="1">
        <v>44014</v>
      </c>
      <c r="F861" t="s">
        <v>37</v>
      </c>
      <c r="G861">
        <v>13</v>
      </c>
      <c r="H861" t="s">
        <v>212</v>
      </c>
      <c r="I861" t="s">
        <v>22</v>
      </c>
      <c r="J861" t="s">
        <v>37</v>
      </c>
      <c r="K861" t="s">
        <v>23</v>
      </c>
      <c r="L861">
        <v>6213.24</v>
      </c>
      <c r="M861" s="1">
        <v>43649</v>
      </c>
      <c r="N861" t="s">
        <v>24</v>
      </c>
      <c r="O861" t="s">
        <v>23</v>
      </c>
      <c r="Q861" s="1">
        <v>43852</v>
      </c>
    </row>
    <row r="862" spans="1:17" x14ac:dyDescent="0.5">
      <c r="A862" t="s">
        <v>43</v>
      </c>
      <c r="B862">
        <v>431172859</v>
      </c>
      <c r="C862" t="s">
        <v>31</v>
      </c>
      <c r="D862" s="1">
        <v>43365</v>
      </c>
      <c r="E862" s="1">
        <v>43729</v>
      </c>
      <c r="F862" t="s">
        <v>36</v>
      </c>
      <c r="G862">
        <v>3</v>
      </c>
      <c r="H862" t="s">
        <v>64</v>
      </c>
      <c r="I862" t="s">
        <v>22</v>
      </c>
      <c r="J862" t="s">
        <v>65</v>
      </c>
      <c r="K862" t="s">
        <v>23</v>
      </c>
      <c r="L862">
        <v>1772.75</v>
      </c>
      <c r="M862" s="1">
        <v>43730</v>
      </c>
      <c r="N862" t="s">
        <v>24</v>
      </c>
      <c r="O862" t="s">
        <v>25</v>
      </c>
      <c r="Q862" s="1">
        <v>43852</v>
      </c>
    </row>
    <row r="863" spans="1:17" x14ac:dyDescent="0.5">
      <c r="A863" t="s">
        <v>46</v>
      </c>
      <c r="B863">
        <v>43196279</v>
      </c>
      <c r="C863" t="s">
        <v>19</v>
      </c>
      <c r="D863" s="1">
        <v>43730</v>
      </c>
      <c r="E863" s="1">
        <v>44095</v>
      </c>
      <c r="F863" t="s">
        <v>36</v>
      </c>
      <c r="G863">
        <v>3</v>
      </c>
      <c r="H863" t="s">
        <v>64</v>
      </c>
      <c r="I863" t="s">
        <v>22</v>
      </c>
      <c r="J863" t="s">
        <v>65</v>
      </c>
      <c r="K863" t="s">
        <v>23</v>
      </c>
      <c r="L863">
        <v>2970</v>
      </c>
      <c r="M863" s="1">
        <v>43730</v>
      </c>
      <c r="N863" t="s">
        <v>24</v>
      </c>
      <c r="O863" t="s">
        <v>23</v>
      </c>
      <c r="Q863" s="1">
        <v>43852</v>
      </c>
    </row>
    <row r="864" spans="1:17" x14ac:dyDescent="0.5">
      <c r="A864" t="s">
        <v>48</v>
      </c>
      <c r="B864" t="s">
        <v>532</v>
      </c>
      <c r="C864" t="s">
        <v>31</v>
      </c>
      <c r="D864" s="1">
        <v>43364</v>
      </c>
      <c r="E864" s="1">
        <v>43728</v>
      </c>
      <c r="F864" t="s">
        <v>20</v>
      </c>
      <c r="G864">
        <v>3</v>
      </c>
      <c r="H864" t="s">
        <v>64</v>
      </c>
      <c r="I864" t="s">
        <v>22</v>
      </c>
      <c r="J864" t="s">
        <v>65</v>
      </c>
      <c r="K864" t="s">
        <v>23</v>
      </c>
      <c r="L864">
        <v>5610</v>
      </c>
      <c r="M864" s="1">
        <v>43729</v>
      </c>
      <c r="N864" t="s">
        <v>24</v>
      </c>
      <c r="O864" t="s">
        <v>45</v>
      </c>
      <c r="Q864" s="1">
        <v>43852</v>
      </c>
    </row>
    <row r="865" spans="1:17" x14ac:dyDescent="0.5">
      <c r="A865" t="s">
        <v>49</v>
      </c>
      <c r="B865" t="s">
        <v>532</v>
      </c>
      <c r="C865" t="s">
        <v>31</v>
      </c>
      <c r="D865" s="1">
        <v>43364</v>
      </c>
      <c r="E865" s="1">
        <v>43728</v>
      </c>
      <c r="F865" t="s">
        <v>20</v>
      </c>
      <c r="G865">
        <v>3</v>
      </c>
      <c r="H865" t="s">
        <v>64</v>
      </c>
      <c r="I865" t="s">
        <v>22</v>
      </c>
      <c r="J865" t="s">
        <v>65</v>
      </c>
      <c r="K865" t="s">
        <v>23</v>
      </c>
      <c r="L865">
        <v>1980</v>
      </c>
      <c r="M865" s="1">
        <v>43630</v>
      </c>
      <c r="N865" t="s">
        <v>47</v>
      </c>
      <c r="O865" t="s">
        <v>45</v>
      </c>
      <c r="Q865" s="1">
        <v>43852</v>
      </c>
    </row>
    <row r="866" spans="1:17" x14ac:dyDescent="0.5">
      <c r="A866" t="s">
        <v>51</v>
      </c>
      <c r="B866" t="s">
        <v>533</v>
      </c>
      <c r="C866" t="s">
        <v>31</v>
      </c>
      <c r="D866" s="1">
        <v>43364</v>
      </c>
      <c r="E866" s="1">
        <v>43728</v>
      </c>
      <c r="F866" t="s">
        <v>36</v>
      </c>
      <c r="G866">
        <v>3</v>
      </c>
      <c r="H866" t="s">
        <v>64</v>
      </c>
      <c r="I866" t="s">
        <v>22</v>
      </c>
      <c r="J866" t="s">
        <v>65</v>
      </c>
      <c r="K866" t="s">
        <v>23</v>
      </c>
      <c r="L866">
        <v>3861.25</v>
      </c>
      <c r="M866" s="1">
        <v>43364</v>
      </c>
      <c r="N866" t="s">
        <v>24</v>
      </c>
      <c r="O866" t="s">
        <v>25</v>
      </c>
      <c r="Q866" s="1">
        <v>43852</v>
      </c>
    </row>
    <row r="867" spans="1:17" x14ac:dyDescent="0.5">
      <c r="A867" t="s">
        <v>53</v>
      </c>
      <c r="B867" t="s">
        <v>534</v>
      </c>
      <c r="C867" t="s">
        <v>31</v>
      </c>
      <c r="D867" s="1">
        <v>43364</v>
      </c>
      <c r="E867" s="1">
        <v>43728</v>
      </c>
      <c r="F867" t="s">
        <v>36</v>
      </c>
      <c r="G867">
        <v>3</v>
      </c>
      <c r="H867" t="s">
        <v>64</v>
      </c>
      <c r="I867" t="s">
        <v>22</v>
      </c>
      <c r="J867" t="s">
        <v>65</v>
      </c>
      <c r="K867" t="s">
        <v>23</v>
      </c>
      <c r="L867">
        <v>13036.5</v>
      </c>
      <c r="M867" s="1">
        <v>43364</v>
      </c>
      <c r="N867" t="s">
        <v>24</v>
      </c>
      <c r="O867" t="s">
        <v>25</v>
      </c>
      <c r="Q867" s="1">
        <v>43852</v>
      </c>
    </row>
    <row r="868" spans="1:17" x14ac:dyDescent="0.5">
      <c r="A868" t="s">
        <v>55</v>
      </c>
      <c r="B868" t="s">
        <v>535</v>
      </c>
      <c r="C868" t="s">
        <v>31</v>
      </c>
      <c r="D868" s="1">
        <v>43364</v>
      </c>
      <c r="E868" s="1">
        <v>43728</v>
      </c>
      <c r="F868" t="s">
        <v>36</v>
      </c>
      <c r="G868">
        <v>3</v>
      </c>
      <c r="H868" t="s">
        <v>64</v>
      </c>
      <c r="I868" t="s">
        <v>22</v>
      </c>
      <c r="J868" t="s">
        <v>65</v>
      </c>
      <c r="K868" t="s">
        <v>23</v>
      </c>
      <c r="L868">
        <v>8194.25</v>
      </c>
      <c r="M868" s="1">
        <v>43364</v>
      </c>
      <c r="N868" t="s">
        <v>24</v>
      </c>
      <c r="O868" t="s">
        <v>25</v>
      </c>
      <c r="Q868" s="1">
        <v>43852</v>
      </c>
    </row>
    <row r="869" spans="1:17" x14ac:dyDescent="0.5">
      <c r="A869" t="s">
        <v>56</v>
      </c>
      <c r="B869" t="s">
        <v>536</v>
      </c>
      <c r="C869" t="s">
        <v>19</v>
      </c>
      <c r="D869" s="1">
        <v>43729</v>
      </c>
      <c r="E869" s="1">
        <v>44094</v>
      </c>
      <c r="F869" t="s">
        <v>20</v>
      </c>
      <c r="G869">
        <v>3</v>
      </c>
      <c r="H869" t="s">
        <v>64</v>
      </c>
      <c r="I869" t="s">
        <v>22</v>
      </c>
      <c r="J869" t="s">
        <v>65</v>
      </c>
      <c r="K869" t="s">
        <v>23</v>
      </c>
      <c r="L869">
        <v>8580</v>
      </c>
      <c r="M869" s="1">
        <v>43729</v>
      </c>
      <c r="N869" t="s">
        <v>24</v>
      </c>
      <c r="O869" t="s">
        <v>23</v>
      </c>
      <c r="Q869" s="1">
        <v>43852</v>
      </c>
    </row>
    <row r="870" spans="1:17" x14ac:dyDescent="0.5">
      <c r="A870" t="s">
        <v>58</v>
      </c>
      <c r="B870" t="s">
        <v>537</v>
      </c>
      <c r="C870" t="s">
        <v>19</v>
      </c>
      <c r="D870" s="1">
        <v>43729</v>
      </c>
      <c r="E870" s="1">
        <v>44094</v>
      </c>
      <c r="F870" t="s">
        <v>36</v>
      </c>
      <c r="G870">
        <v>3</v>
      </c>
      <c r="H870" t="s">
        <v>64</v>
      </c>
      <c r="I870" t="s">
        <v>22</v>
      </c>
      <c r="J870" t="s">
        <v>65</v>
      </c>
      <c r="K870" t="s">
        <v>23</v>
      </c>
      <c r="L870">
        <v>4579</v>
      </c>
      <c r="M870" s="1">
        <v>43729</v>
      </c>
      <c r="N870" t="s">
        <v>24</v>
      </c>
      <c r="O870" t="s">
        <v>23</v>
      </c>
      <c r="Q870" s="1">
        <v>43852</v>
      </c>
    </row>
    <row r="871" spans="1:17" x14ac:dyDescent="0.5">
      <c r="A871" t="s">
        <v>62</v>
      </c>
      <c r="B871" t="s">
        <v>538</v>
      </c>
      <c r="C871" t="s">
        <v>19</v>
      </c>
      <c r="D871" s="1">
        <v>43729</v>
      </c>
      <c r="E871" s="1">
        <v>44094</v>
      </c>
      <c r="F871" t="s">
        <v>36</v>
      </c>
      <c r="G871">
        <v>3</v>
      </c>
      <c r="H871" t="s">
        <v>64</v>
      </c>
      <c r="I871" t="s">
        <v>22</v>
      </c>
      <c r="J871" t="s">
        <v>65</v>
      </c>
      <c r="K871" t="s">
        <v>23</v>
      </c>
      <c r="L871">
        <v>3330</v>
      </c>
      <c r="M871" s="1">
        <v>43729</v>
      </c>
      <c r="N871" t="s">
        <v>24</v>
      </c>
      <c r="O871" t="s">
        <v>23</v>
      </c>
      <c r="Q871" s="1">
        <v>43852</v>
      </c>
    </row>
    <row r="872" spans="1:17" x14ac:dyDescent="0.5">
      <c r="A872" t="s">
        <v>63</v>
      </c>
      <c r="B872" t="s">
        <v>539</v>
      </c>
      <c r="C872" t="s">
        <v>19</v>
      </c>
      <c r="D872" s="1">
        <v>43729</v>
      </c>
      <c r="E872" s="1">
        <v>44094</v>
      </c>
      <c r="F872" t="s">
        <v>36</v>
      </c>
      <c r="G872">
        <v>3</v>
      </c>
      <c r="H872" t="s">
        <v>64</v>
      </c>
      <c r="I872" t="s">
        <v>22</v>
      </c>
      <c r="J872" t="s">
        <v>65</v>
      </c>
      <c r="K872" t="s">
        <v>23</v>
      </c>
      <c r="L872">
        <v>8625.3799999999992</v>
      </c>
      <c r="M872" s="1">
        <v>43729</v>
      </c>
      <c r="N872" t="s">
        <v>24</v>
      </c>
      <c r="O872" t="s">
        <v>23</v>
      </c>
      <c r="Q872" s="1">
        <v>43852</v>
      </c>
    </row>
    <row r="873" spans="1:17" x14ac:dyDescent="0.5">
      <c r="A873" t="s">
        <v>67</v>
      </c>
      <c r="B873" t="s">
        <v>540</v>
      </c>
      <c r="C873" t="s">
        <v>19</v>
      </c>
      <c r="D873" s="1">
        <v>43574</v>
      </c>
      <c r="E873" s="1">
        <v>43939</v>
      </c>
      <c r="F873" t="s">
        <v>20</v>
      </c>
      <c r="G873">
        <v>1</v>
      </c>
      <c r="H873" t="s">
        <v>21</v>
      </c>
      <c r="I873" t="s">
        <v>22</v>
      </c>
      <c r="J873" t="s">
        <v>20</v>
      </c>
      <c r="K873" t="s">
        <v>66</v>
      </c>
      <c r="L873">
        <v>150.65</v>
      </c>
      <c r="M873" s="1">
        <v>43574</v>
      </c>
      <c r="N873" t="s">
        <v>24</v>
      </c>
      <c r="O873" t="s">
        <v>25</v>
      </c>
      <c r="Q873" s="1">
        <v>43852</v>
      </c>
    </row>
    <row r="874" spans="1:17" x14ac:dyDescent="0.5">
      <c r="B874">
        <v>304003070</v>
      </c>
      <c r="C874" t="s">
        <v>19</v>
      </c>
      <c r="D874" s="1">
        <v>43433</v>
      </c>
      <c r="E874" s="1">
        <v>43797</v>
      </c>
      <c r="F874" t="s">
        <v>37</v>
      </c>
      <c r="G874">
        <v>6</v>
      </c>
      <c r="H874" t="s">
        <v>104</v>
      </c>
      <c r="I874" t="s">
        <v>22</v>
      </c>
      <c r="J874" t="s">
        <v>37</v>
      </c>
      <c r="K874" t="s">
        <v>28</v>
      </c>
      <c r="L874">
        <v>115173.38</v>
      </c>
      <c r="M874" s="1">
        <v>43433</v>
      </c>
      <c r="N874" t="s">
        <v>24</v>
      </c>
      <c r="O874" t="s">
        <v>25</v>
      </c>
      <c r="Q874" s="1">
        <v>43852</v>
      </c>
    </row>
    <row r="875" spans="1:17" x14ac:dyDescent="0.5">
      <c r="A875" t="s">
        <v>71</v>
      </c>
      <c r="B875" t="s">
        <v>541</v>
      </c>
      <c r="C875" t="s">
        <v>19</v>
      </c>
      <c r="D875" s="1">
        <v>43471</v>
      </c>
      <c r="E875" s="1">
        <v>43835</v>
      </c>
      <c r="F875" t="s">
        <v>20</v>
      </c>
      <c r="G875">
        <v>11</v>
      </c>
      <c r="H875" t="s">
        <v>138</v>
      </c>
      <c r="I875" t="s">
        <v>22</v>
      </c>
      <c r="J875" t="s">
        <v>20</v>
      </c>
      <c r="K875" t="s">
        <v>66</v>
      </c>
      <c r="L875">
        <v>825</v>
      </c>
      <c r="M875" s="1">
        <v>43471</v>
      </c>
      <c r="N875" t="s">
        <v>24</v>
      </c>
      <c r="O875" t="s">
        <v>25</v>
      </c>
      <c r="Q875" s="1">
        <v>43852</v>
      </c>
    </row>
    <row r="876" spans="1:17" x14ac:dyDescent="0.5">
      <c r="A876" t="s">
        <v>72</v>
      </c>
      <c r="B876" t="s">
        <v>542</v>
      </c>
      <c r="C876" t="s">
        <v>19</v>
      </c>
      <c r="D876" s="1">
        <v>43264</v>
      </c>
      <c r="E876" s="1">
        <v>43628</v>
      </c>
      <c r="F876" t="s">
        <v>20</v>
      </c>
      <c r="G876">
        <v>11</v>
      </c>
      <c r="H876" t="s">
        <v>138</v>
      </c>
      <c r="I876" t="s">
        <v>22</v>
      </c>
      <c r="J876" t="s">
        <v>20</v>
      </c>
      <c r="K876" t="s">
        <v>23</v>
      </c>
      <c r="L876">
        <v>20625</v>
      </c>
      <c r="M876" s="1">
        <v>43264</v>
      </c>
      <c r="N876" t="s">
        <v>24</v>
      </c>
      <c r="O876" t="s">
        <v>25</v>
      </c>
      <c r="Q876" s="1">
        <v>43852</v>
      </c>
    </row>
    <row r="877" spans="1:17" x14ac:dyDescent="0.5">
      <c r="A877" t="s">
        <v>74</v>
      </c>
      <c r="B877" t="s">
        <v>543</v>
      </c>
      <c r="C877" t="s">
        <v>19</v>
      </c>
      <c r="D877" s="1">
        <v>43563</v>
      </c>
      <c r="E877" s="1">
        <v>43928</v>
      </c>
      <c r="F877" t="s">
        <v>20</v>
      </c>
      <c r="G877">
        <v>11</v>
      </c>
      <c r="H877" t="s">
        <v>138</v>
      </c>
      <c r="I877" t="s">
        <v>22</v>
      </c>
      <c r="J877" t="s">
        <v>20</v>
      </c>
      <c r="K877" t="s">
        <v>66</v>
      </c>
      <c r="L877">
        <v>2598.75</v>
      </c>
      <c r="M877" s="1">
        <v>43563</v>
      </c>
      <c r="N877" t="s">
        <v>24</v>
      </c>
      <c r="O877" t="s">
        <v>25</v>
      </c>
      <c r="Q877" s="1">
        <v>43852</v>
      </c>
    </row>
    <row r="878" spans="1:17" x14ac:dyDescent="0.5">
      <c r="A878" t="s">
        <v>76</v>
      </c>
      <c r="B878" t="s">
        <v>544</v>
      </c>
      <c r="C878" t="s">
        <v>19</v>
      </c>
      <c r="D878" s="1">
        <v>43563</v>
      </c>
      <c r="E878" s="1">
        <v>43928</v>
      </c>
      <c r="F878" t="s">
        <v>20</v>
      </c>
      <c r="G878">
        <v>11</v>
      </c>
      <c r="H878" t="s">
        <v>138</v>
      </c>
      <c r="I878" t="s">
        <v>22</v>
      </c>
      <c r="J878" t="s">
        <v>20</v>
      </c>
      <c r="K878" t="s">
        <v>66</v>
      </c>
      <c r="L878">
        <v>693</v>
      </c>
      <c r="M878" s="1">
        <v>43563</v>
      </c>
      <c r="N878" t="s">
        <v>24</v>
      </c>
      <c r="O878" t="s">
        <v>25</v>
      </c>
      <c r="Q878" s="1">
        <v>43852</v>
      </c>
    </row>
    <row r="879" spans="1:17" x14ac:dyDescent="0.5">
      <c r="A879" t="s">
        <v>78</v>
      </c>
      <c r="B879" t="s">
        <v>545</v>
      </c>
      <c r="C879" t="s">
        <v>19</v>
      </c>
      <c r="D879" s="1">
        <v>43577</v>
      </c>
      <c r="E879" s="1">
        <v>43942</v>
      </c>
      <c r="F879" t="s">
        <v>20</v>
      </c>
      <c r="G879">
        <v>11</v>
      </c>
      <c r="H879" t="s">
        <v>138</v>
      </c>
      <c r="I879" t="s">
        <v>22</v>
      </c>
      <c r="J879" t="s">
        <v>20</v>
      </c>
      <c r="K879" t="s">
        <v>66</v>
      </c>
      <c r="L879">
        <v>357.06</v>
      </c>
      <c r="M879" s="1">
        <v>43577</v>
      </c>
      <c r="N879" t="s">
        <v>24</v>
      </c>
      <c r="O879" t="s">
        <v>25</v>
      </c>
      <c r="Q879" s="1">
        <v>43852</v>
      </c>
    </row>
    <row r="880" spans="1:17" x14ac:dyDescent="0.5">
      <c r="A880" t="s">
        <v>79</v>
      </c>
      <c r="B880">
        <v>1.31000501801E+19</v>
      </c>
      <c r="C880" t="s">
        <v>19</v>
      </c>
      <c r="D880" s="1">
        <v>43531</v>
      </c>
      <c r="E880" s="1">
        <v>43896</v>
      </c>
      <c r="F880" t="s">
        <v>36</v>
      </c>
      <c r="G880">
        <v>11</v>
      </c>
      <c r="H880" t="s">
        <v>138</v>
      </c>
      <c r="I880" t="s">
        <v>22</v>
      </c>
      <c r="J880" t="s">
        <v>144</v>
      </c>
      <c r="K880" t="s">
        <v>23</v>
      </c>
      <c r="L880">
        <v>41625</v>
      </c>
      <c r="M880" s="1">
        <v>43652</v>
      </c>
      <c r="N880" t="s">
        <v>24</v>
      </c>
      <c r="O880" t="s">
        <v>25</v>
      </c>
      <c r="Q880" s="1">
        <v>43852</v>
      </c>
    </row>
    <row r="881" spans="1:17" x14ac:dyDescent="0.5">
      <c r="A881" t="s">
        <v>80</v>
      </c>
      <c r="B881">
        <v>1.31000501801E+19</v>
      </c>
      <c r="C881" t="s">
        <v>19</v>
      </c>
      <c r="D881" s="1">
        <v>43531</v>
      </c>
      <c r="E881" s="1">
        <v>43896</v>
      </c>
      <c r="F881" t="s">
        <v>36</v>
      </c>
      <c r="G881">
        <v>11</v>
      </c>
      <c r="H881" t="s">
        <v>138</v>
      </c>
      <c r="I881" t="s">
        <v>22</v>
      </c>
      <c r="J881" t="s">
        <v>144</v>
      </c>
      <c r="K881" t="s">
        <v>23</v>
      </c>
      <c r="L881">
        <v>41625</v>
      </c>
      <c r="M881" s="1">
        <v>43773</v>
      </c>
      <c r="N881" t="s">
        <v>24</v>
      </c>
      <c r="O881" t="s">
        <v>25</v>
      </c>
      <c r="Q881" s="1">
        <v>43852</v>
      </c>
    </row>
    <row r="882" spans="1:17" x14ac:dyDescent="0.5">
      <c r="A882" t="s">
        <v>81</v>
      </c>
      <c r="B882">
        <v>1.31000501801E+19</v>
      </c>
      <c r="C882" t="s">
        <v>19</v>
      </c>
      <c r="D882" s="1">
        <v>43531</v>
      </c>
      <c r="E882" s="1">
        <v>43896</v>
      </c>
      <c r="F882" t="s">
        <v>36</v>
      </c>
      <c r="G882">
        <v>11</v>
      </c>
      <c r="H882" t="s">
        <v>138</v>
      </c>
      <c r="I882" t="s">
        <v>22</v>
      </c>
      <c r="J882" t="s">
        <v>144</v>
      </c>
      <c r="K882" t="s">
        <v>23</v>
      </c>
      <c r="L882">
        <v>124875</v>
      </c>
      <c r="M882" s="1">
        <v>43531</v>
      </c>
      <c r="N882" t="s">
        <v>24</v>
      </c>
      <c r="O882" t="s">
        <v>25</v>
      </c>
      <c r="Q882" s="1">
        <v>43852</v>
      </c>
    </row>
    <row r="883" spans="1:17" x14ac:dyDescent="0.5">
      <c r="A883" t="s">
        <v>84</v>
      </c>
      <c r="B883">
        <v>41048751</v>
      </c>
      <c r="C883" t="s">
        <v>19</v>
      </c>
      <c r="D883" s="1">
        <v>43705</v>
      </c>
      <c r="E883" s="1">
        <v>44070</v>
      </c>
      <c r="F883" t="s">
        <v>37</v>
      </c>
      <c r="G883">
        <v>1</v>
      </c>
      <c r="H883" t="s">
        <v>21</v>
      </c>
      <c r="I883" t="s">
        <v>22</v>
      </c>
      <c r="J883" t="s">
        <v>37</v>
      </c>
      <c r="K883" t="s">
        <v>23</v>
      </c>
      <c r="L883">
        <v>42900</v>
      </c>
      <c r="M883" s="1">
        <v>43340</v>
      </c>
      <c r="N883" t="s">
        <v>24</v>
      </c>
      <c r="O883" t="s">
        <v>25</v>
      </c>
      <c r="Q883" s="1">
        <v>43852</v>
      </c>
    </row>
    <row r="884" spans="1:17" x14ac:dyDescent="0.5">
      <c r="A884" t="s">
        <v>86</v>
      </c>
      <c r="B884">
        <v>41048762</v>
      </c>
      <c r="C884" t="s">
        <v>19</v>
      </c>
      <c r="D884" s="1">
        <v>43705</v>
      </c>
      <c r="E884" s="1">
        <v>44070</v>
      </c>
      <c r="F884" t="s">
        <v>37</v>
      </c>
      <c r="G884">
        <v>1</v>
      </c>
      <c r="H884" t="s">
        <v>21</v>
      </c>
      <c r="I884" t="s">
        <v>22</v>
      </c>
      <c r="J884" t="s">
        <v>37</v>
      </c>
      <c r="K884" t="s">
        <v>23</v>
      </c>
      <c r="L884">
        <v>52800</v>
      </c>
      <c r="M884" s="1">
        <v>43705</v>
      </c>
      <c r="N884" t="s">
        <v>24</v>
      </c>
      <c r="O884" t="s">
        <v>25</v>
      </c>
      <c r="Q884" s="1">
        <v>43852</v>
      </c>
    </row>
    <row r="885" spans="1:17" x14ac:dyDescent="0.5">
      <c r="A885" t="s">
        <v>87</v>
      </c>
      <c r="B885">
        <v>41048763</v>
      </c>
      <c r="C885" t="s">
        <v>19</v>
      </c>
      <c r="D885" s="1">
        <v>43705</v>
      </c>
      <c r="E885" s="1">
        <v>44070</v>
      </c>
      <c r="F885" t="s">
        <v>37</v>
      </c>
      <c r="G885">
        <v>1</v>
      </c>
      <c r="H885" t="s">
        <v>21</v>
      </c>
      <c r="I885" t="s">
        <v>22</v>
      </c>
      <c r="J885" t="s">
        <v>37</v>
      </c>
      <c r="K885" t="s">
        <v>23</v>
      </c>
      <c r="L885">
        <v>44130.41</v>
      </c>
      <c r="M885" s="1">
        <v>43705</v>
      </c>
      <c r="N885" t="s">
        <v>24</v>
      </c>
      <c r="O885" t="s">
        <v>25</v>
      </c>
      <c r="Q885" s="1">
        <v>43852</v>
      </c>
    </row>
    <row r="886" spans="1:17" x14ac:dyDescent="0.5">
      <c r="A886" t="s">
        <v>88</v>
      </c>
      <c r="B886" t="s">
        <v>546</v>
      </c>
      <c r="C886" t="s">
        <v>19</v>
      </c>
      <c r="D886" s="1">
        <v>43469</v>
      </c>
      <c r="E886" s="1">
        <v>43833</v>
      </c>
      <c r="F886" t="s">
        <v>40</v>
      </c>
      <c r="G886">
        <v>10</v>
      </c>
      <c r="H886" t="s">
        <v>41</v>
      </c>
      <c r="I886" t="s">
        <v>22</v>
      </c>
      <c r="J886" t="s">
        <v>42</v>
      </c>
      <c r="K886" t="s">
        <v>23</v>
      </c>
      <c r="L886">
        <v>156000</v>
      </c>
      <c r="M886" s="1">
        <v>43469</v>
      </c>
      <c r="N886" t="s">
        <v>24</v>
      </c>
      <c r="O886" t="s">
        <v>45</v>
      </c>
      <c r="Q886" s="1">
        <v>43852</v>
      </c>
    </row>
    <row r="887" spans="1:17" x14ac:dyDescent="0.5">
      <c r="A887" t="s">
        <v>90</v>
      </c>
      <c r="B887" t="s">
        <v>546</v>
      </c>
      <c r="C887" t="s">
        <v>19</v>
      </c>
      <c r="D887" s="1">
        <v>43469</v>
      </c>
      <c r="E887" s="1">
        <v>43833</v>
      </c>
      <c r="F887" t="s">
        <v>40</v>
      </c>
      <c r="G887">
        <v>10</v>
      </c>
      <c r="H887" t="s">
        <v>41</v>
      </c>
      <c r="I887" t="s">
        <v>22</v>
      </c>
      <c r="J887" t="s">
        <v>42</v>
      </c>
      <c r="K887" t="s">
        <v>23</v>
      </c>
      <c r="L887">
        <v>5253.23</v>
      </c>
      <c r="M887" s="1">
        <v>43514</v>
      </c>
      <c r="N887" t="s">
        <v>47</v>
      </c>
      <c r="O887" t="s">
        <v>45</v>
      </c>
      <c r="Q887" s="1">
        <v>43852</v>
      </c>
    </row>
    <row r="888" spans="1:17" x14ac:dyDescent="0.5">
      <c r="A888" t="s">
        <v>92</v>
      </c>
      <c r="B888" t="s">
        <v>546</v>
      </c>
      <c r="C888" t="s">
        <v>19</v>
      </c>
      <c r="D888" s="1">
        <v>43469</v>
      </c>
      <c r="E888" s="1">
        <v>43833</v>
      </c>
      <c r="F888" t="s">
        <v>40</v>
      </c>
      <c r="G888">
        <v>10</v>
      </c>
      <c r="H888" t="s">
        <v>41</v>
      </c>
      <c r="I888" t="s">
        <v>22</v>
      </c>
      <c r="J888" t="s">
        <v>42</v>
      </c>
      <c r="K888" t="s">
        <v>23</v>
      </c>
      <c r="L888">
        <v>6769.65</v>
      </c>
      <c r="M888" s="1">
        <v>43631</v>
      </c>
      <c r="N888" t="s">
        <v>47</v>
      </c>
      <c r="O888" t="s">
        <v>45</v>
      </c>
      <c r="Q888" s="1">
        <v>43852</v>
      </c>
    </row>
    <row r="889" spans="1:17" x14ac:dyDescent="0.5">
      <c r="A889" t="s">
        <v>94</v>
      </c>
      <c r="B889" t="s">
        <v>546</v>
      </c>
      <c r="C889" t="s">
        <v>19</v>
      </c>
      <c r="D889" s="1">
        <v>43469</v>
      </c>
      <c r="E889" s="1">
        <v>43833</v>
      </c>
      <c r="F889" t="s">
        <v>40</v>
      </c>
      <c r="G889">
        <v>10</v>
      </c>
      <c r="H889" t="s">
        <v>41</v>
      </c>
      <c r="I889" t="s">
        <v>22</v>
      </c>
      <c r="J889" t="s">
        <v>42</v>
      </c>
      <c r="K889" t="s">
        <v>23</v>
      </c>
      <c r="L889">
        <v>8961.98</v>
      </c>
      <c r="M889" s="1">
        <v>43641</v>
      </c>
      <c r="N889" t="s">
        <v>47</v>
      </c>
      <c r="O889" t="s">
        <v>45</v>
      </c>
      <c r="Q889" s="1">
        <v>43852</v>
      </c>
    </row>
    <row r="890" spans="1:17" x14ac:dyDescent="0.5">
      <c r="A890" t="s">
        <v>96</v>
      </c>
      <c r="B890" t="s">
        <v>547</v>
      </c>
      <c r="C890" t="s">
        <v>31</v>
      </c>
      <c r="D890" s="1">
        <v>43102</v>
      </c>
      <c r="E890" s="1">
        <v>43466</v>
      </c>
      <c r="F890" t="s">
        <v>40</v>
      </c>
      <c r="G890">
        <v>10</v>
      </c>
      <c r="H890" t="s">
        <v>41</v>
      </c>
      <c r="I890" t="s">
        <v>22</v>
      </c>
      <c r="J890" t="s">
        <v>42</v>
      </c>
      <c r="K890" t="s">
        <v>23</v>
      </c>
      <c r="L890">
        <v>64155.3</v>
      </c>
      <c r="M890" s="1">
        <v>43102</v>
      </c>
      <c r="N890" t="s">
        <v>24</v>
      </c>
      <c r="O890" t="s">
        <v>252</v>
      </c>
      <c r="P890" t="s">
        <v>253</v>
      </c>
      <c r="Q890" s="1">
        <v>43852</v>
      </c>
    </row>
    <row r="891" spans="1:17" x14ac:dyDescent="0.5">
      <c r="A891" t="s">
        <v>97</v>
      </c>
      <c r="B891" t="s">
        <v>548</v>
      </c>
      <c r="C891" t="s">
        <v>31</v>
      </c>
      <c r="D891" s="1">
        <v>43102</v>
      </c>
      <c r="E891" s="1">
        <v>43466</v>
      </c>
      <c r="F891" t="s">
        <v>40</v>
      </c>
      <c r="G891">
        <v>10</v>
      </c>
      <c r="H891" t="s">
        <v>41</v>
      </c>
      <c r="I891" t="s">
        <v>22</v>
      </c>
      <c r="J891" t="s">
        <v>42</v>
      </c>
      <c r="K891" t="s">
        <v>23</v>
      </c>
      <c r="L891">
        <v>5404.95</v>
      </c>
      <c r="M891" s="1">
        <v>43102</v>
      </c>
      <c r="N891" t="s">
        <v>24</v>
      </c>
      <c r="O891" t="s">
        <v>252</v>
      </c>
      <c r="P891" t="s">
        <v>253</v>
      </c>
      <c r="Q891" s="1">
        <v>43852</v>
      </c>
    </row>
    <row r="892" spans="1:17" x14ac:dyDescent="0.5">
      <c r="A892" t="s">
        <v>98</v>
      </c>
      <c r="B892" t="s">
        <v>549</v>
      </c>
      <c r="C892" t="s">
        <v>19</v>
      </c>
      <c r="D892" s="1">
        <v>43469</v>
      </c>
      <c r="E892" s="1">
        <v>43833</v>
      </c>
      <c r="F892" t="s">
        <v>40</v>
      </c>
      <c r="G892">
        <v>10</v>
      </c>
      <c r="H892" t="s">
        <v>41</v>
      </c>
      <c r="I892" t="s">
        <v>22</v>
      </c>
      <c r="J892" t="s">
        <v>42</v>
      </c>
      <c r="K892" t="s">
        <v>23</v>
      </c>
      <c r="L892">
        <v>5550</v>
      </c>
      <c r="M892" s="1">
        <v>43469</v>
      </c>
      <c r="N892" t="s">
        <v>24</v>
      </c>
      <c r="O892" t="s">
        <v>25</v>
      </c>
      <c r="Q892" s="1">
        <v>43852</v>
      </c>
    </row>
    <row r="893" spans="1:17" x14ac:dyDescent="0.5">
      <c r="A893" t="s">
        <v>100</v>
      </c>
      <c r="B893" t="s">
        <v>550</v>
      </c>
      <c r="C893" t="s">
        <v>19</v>
      </c>
      <c r="D893" s="1">
        <v>43716</v>
      </c>
      <c r="E893" s="1">
        <v>44081</v>
      </c>
      <c r="F893" t="s">
        <v>37</v>
      </c>
      <c r="G893">
        <v>13</v>
      </c>
      <c r="H893" t="s">
        <v>212</v>
      </c>
      <c r="I893" t="s">
        <v>22</v>
      </c>
      <c r="J893" t="s">
        <v>37</v>
      </c>
      <c r="K893" t="s">
        <v>23</v>
      </c>
      <c r="L893">
        <v>18750</v>
      </c>
      <c r="M893" s="1">
        <v>43716</v>
      </c>
      <c r="N893" t="s">
        <v>24</v>
      </c>
      <c r="O893" t="s">
        <v>25</v>
      </c>
      <c r="Q893" s="1">
        <v>43852</v>
      </c>
    </row>
    <row r="894" spans="1:17" x14ac:dyDescent="0.5">
      <c r="A894" t="s">
        <v>102</v>
      </c>
      <c r="B894">
        <v>41045707</v>
      </c>
      <c r="C894" t="s">
        <v>19</v>
      </c>
      <c r="D894" s="1">
        <v>43556</v>
      </c>
      <c r="E894" s="1">
        <v>43921</v>
      </c>
      <c r="F894" t="s">
        <v>37</v>
      </c>
      <c r="G894">
        <v>13</v>
      </c>
      <c r="H894" t="s">
        <v>212</v>
      </c>
      <c r="I894" t="s">
        <v>22</v>
      </c>
      <c r="J894" t="s">
        <v>37</v>
      </c>
      <c r="K894" t="s">
        <v>66</v>
      </c>
      <c r="L894">
        <v>74250</v>
      </c>
      <c r="M894" s="1">
        <v>43556</v>
      </c>
      <c r="N894" t="s">
        <v>24</v>
      </c>
      <c r="O894" t="s">
        <v>25</v>
      </c>
      <c r="Q894" s="1">
        <v>43852</v>
      </c>
    </row>
    <row r="895" spans="1:17" x14ac:dyDescent="0.5">
      <c r="A895" t="s">
        <v>103</v>
      </c>
      <c r="B895">
        <v>3000001017</v>
      </c>
      <c r="C895" t="s">
        <v>19</v>
      </c>
      <c r="D895" s="1">
        <v>43191</v>
      </c>
      <c r="E895" s="1">
        <v>43555</v>
      </c>
      <c r="F895" t="s">
        <v>37</v>
      </c>
      <c r="G895">
        <v>12</v>
      </c>
      <c r="H895" t="s">
        <v>83</v>
      </c>
      <c r="I895" t="s">
        <v>22</v>
      </c>
      <c r="J895" t="s">
        <v>65</v>
      </c>
      <c r="K895" t="s">
        <v>23</v>
      </c>
      <c r="L895">
        <v>48652.25</v>
      </c>
      <c r="M895" s="1">
        <v>43191</v>
      </c>
      <c r="N895" t="s">
        <v>24</v>
      </c>
      <c r="O895" t="s">
        <v>25</v>
      </c>
      <c r="Q895" s="1">
        <v>43852</v>
      </c>
    </row>
    <row r="896" spans="1:17" x14ac:dyDescent="0.5">
      <c r="A896" t="s">
        <v>105</v>
      </c>
      <c r="B896">
        <v>3.1142029652485002E+18</v>
      </c>
      <c r="C896" t="s">
        <v>19</v>
      </c>
      <c r="D896" s="1">
        <v>43703</v>
      </c>
      <c r="E896" s="1">
        <v>44068</v>
      </c>
      <c r="F896" t="s">
        <v>36</v>
      </c>
      <c r="G896">
        <v>3</v>
      </c>
      <c r="H896" t="s">
        <v>64</v>
      </c>
      <c r="I896" t="s">
        <v>22</v>
      </c>
      <c r="J896" t="s">
        <v>65</v>
      </c>
      <c r="K896" t="s">
        <v>66</v>
      </c>
      <c r="L896">
        <v>1501.88</v>
      </c>
      <c r="M896" s="1">
        <v>43703</v>
      </c>
      <c r="N896" t="s">
        <v>24</v>
      </c>
      <c r="O896" t="s">
        <v>25</v>
      </c>
      <c r="Q896" s="1">
        <v>43852</v>
      </c>
    </row>
    <row r="897" spans="1:17" x14ac:dyDescent="0.5">
      <c r="A897" t="s">
        <v>106</v>
      </c>
      <c r="B897" t="s">
        <v>551</v>
      </c>
      <c r="C897" t="s">
        <v>19</v>
      </c>
      <c r="D897" s="1">
        <v>43466</v>
      </c>
      <c r="E897" s="1">
        <v>43830</v>
      </c>
      <c r="F897" t="s">
        <v>20</v>
      </c>
      <c r="G897">
        <v>3</v>
      </c>
      <c r="H897" t="s">
        <v>64</v>
      </c>
      <c r="I897" t="s">
        <v>22</v>
      </c>
      <c r="J897" t="s">
        <v>65</v>
      </c>
      <c r="K897" t="s">
        <v>66</v>
      </c>
      <c r="L897">
        <v>21157.34</v>
      </c>
      <c r="M897" s="1">
        <v>43466</v>
      </c>
      <c r="N897" t="s">
        <v>24</v>
      </c>
      <c r="O897" t="s">
        <v>25</v>
      </c>
      <c r="Q897" s="1">
        <v>43852</v>
      </c>
    </row>
    <row r="898" spans="1:17" x14ac:dyDescent="0.5">
      <c r="A898" t="s">
        <v>108</v>
      </c>
      <c r="B898" t="s">
        <v>552</v>
      </c>
      <c r="C898" t="s">
        <v>19</v>
      </c>
      <c r="D898" s="1">
        <v>43466</v>
      </c>
      <c r="E898" s="1">
        <v>43830</v>
      </c>
      <c r="F898" t="s">
        <v>37</v>
      </c>
      <c r="G898">
        <v>3</v>
      </c>
      <c r="H898" t="s">
        <v>64</v>
      </c>
      <c r="I898" t="s">
        <v>22</v>
      </c>
      <c r="J898" t="s">
        <v>65</v>
      </c>
      <c r="K898" t="s">
        <v>66</v>
      </c>
      <c r="L898">
        <v>12019.2</v>
      </c>
      <c r="M898" s="1">
        <v>43466</v>
      </c>
      <c r="N898" t="s">
        <v>24</v>
      </c>
      <c r="O898" t="s">
        <v>25</v>
      </c>
      <c r="Q898" s="1">
        <v>43852</v>
      </c>
    </row>
    <row r="899" spans="1:17" x14ac:dyDescent="0.5">
      <c r="A899" t="s">
        <v>110</v>
      </c>
      <c r="B899" t="s">
        <v>553</v>
      </c>
      <c r="C899" t="s">
        <v>19</v>
      </c>
      <c r="D899" s="1">
        <v>43334</v>
      </c>
      <c r="E899" s="1">
        <v>43698</v>
      </c>
      <c r="F899" t="s">
        <v>32</v>
      </c>
      <c r="G899">
        <v>3</v>
      </c>
      <c r="H899" t="s">
        <v>64</v>
      </c>
      <c r="I899" t="s">
        <v>22</v>
      </c>
      <c r="J899" t="s">
        <v>65</v>
      </c>
      <c r="K899" t="s">
        <v>23</v>
      </c>
      <c r="L899">
        <v>7324.12</v>
      </c>
      <c r="M899" s="1">
        <v>43334</v>
      </c>
      <c r="N899" t="s">
        <v>24</v>
      </c>
      <c r="O899" t="s">
        <v>25</v>
      </c>
      <c r="Q899" s="1">
        <v>43852</v>
      </c>
    </row>
    <row r="900" spans="1:17" x14ac:dyDescent="0.5">
      <c r="A900" t="s">
        <v>112</v>
      </c>
      <c r="B900" t="s">
        <v>554</v>
      </c>
      <c r="C900" t="s">
        <v>19</v>
      </c>
      <c r="D900" s="1">
        <v>43334</v>
      </c>
      <c r="E900" s="1">
        <v>43698</v>
      </c>
      <c r="F900" t="s">
        <v>32</v>
      </c>
      <c r="G900">
        <v>3</v>
      </c>
      <c r="H900" t="s">
        <v>64</v>
      </c>
      <c r="I900" t="s">
        <v>22</v>
      </c>
      <c r="J900" t="s">
        <v>65</v>
      </c>
      <c r="K900" t="s">
        <v>23</v>
      </c>
      <c r="L900">
        <v>19316.669999999998</v>
      </c>
      <c r="M900" s="1">
        <v>43334</v>
      </c>
      <c r="N900" t="s">
        <v>24</v>
      </c>
      <c r="O900" t="s">
        <v>25</v>
      </c>
      <c r="Q900" s="1">
        <v>43852</v>
      </c>
    </row>
    <row r="901" spans="1:17" x14ac:dyDescent="0.5">
      <c r="A901" t="s">
        <v>114</v>
      </c>
      <c r="B901">
        <v>505373</v>
      </c>
      <c r="C901" t="s">
        <v>31</v>
      </c>
      <c r="D901" s="1">
        <v>43157</v>
      </c>
      <c r="E901" s="1">
        <v>43521</v>
      </c>
      <c r="F901" t="s">
        <v>40</v>
      </c>
      <c r="G901">
        <v>10</v>
      </c>
      <c r="H901" t="s">
        <v>41</v>
      </c>
      <c r="I901" t="s">
        <v>22</v>
      </c>
      <c r="J901" t="s">
        <v>42</v>
      </c>
      <c r="K901" t="s">
        <v>23</v>
      </c>
      <c r="L901">
        <v>23115.200000000001</v>
      </c>
      <c r="M901" s="1">
        <v>43157</v>
      </c>
      <c r="N901" t="s">
        <v>24</v>
      </c>
      <c r="O901" t="s">
        <v>25</v>
      </c>
      <c r="Q901" s="1">
        <v>43852</v>
      </c>
    </row>
    <row r="902" spans="1:17" x14ac:dyDescent="0.5">
      <c r="A902" t="s">
        <v>115</v>
      </c>
      <c r="B902" t="s">
        <v>555</v>
      </c>
      <c r="C902" t="s">
        <v>19</v>
      </c>
      <c r="D902" s="1">
        <v>43522</v>
      </c>
      <c r="E902" s="1">
        <v>43886</v>
      </c>
      <c r="F902" t="s">
        <v>40</v>
      </c>
      <c r="G902">
        <v>10</v>
      </c>
      <c r="H902" t="s">
        <v>41</v>
      </c>
      <c r="I902" t="s">
        <v>22</v>
      </c>
      <c r="J902" t="s">
        <v>42</v>
      </c>
      <c r="K902" t="s">
        <v>23</v>
      </c>
      <c r="L902">
        <v>25336.44</v>
      </c>
      <c r="M902" s="1">
        <v>43522</v>
      </c>
      <c r="N902" t="s">
        <v>24</v>
      </c>
      <c r="O902" t="s">
        <v>23</v>
      </c>
      <c r="Q902" s="1">
        <v>43852</v>
      </c>
    </row>
    <row r="903" spans="1:17" x14ac:dyDescent="0.5">
      <c r="A903" t="s">
        <v>117</v>
      </c>
      <c r="B903">
        <v>51995029</v>
      </c>
      <c r="C903" t="s">
        <v>31</v>
      </c>
      <c r="D903" s="1">
        <v>43159</v>
      </c>
      <c r="E903" s="1">
        <v>43523</v>
      </c>
      <c r="F903" t="s">
        <v>40</v>
      </c>
      <c r="G903">
        <v>10</v>
      </c>
      <c r="H903" t="s">
        <v>41</v>
      </c>
      <c r="I903" t="s">
        <v>22</v>
      </c>
      <c r="J903" t="s">
        <v>42</v>
      </c>
      <c r="K903" t="s">
        <v>23</v>
      </c>
      <c r="L903">
        <v>12699.7</v>
      </c>
      <c r="M903" s="1">
        <v>43159</v>
      </c>
      <c r="N903" t="s">
        <v>24</v>
      </c>
      <c r="O903" t="s">
        <v>45</v>
      </c>
      <c r="Q903" s="1">
        <v>43852</v>
      </c>
    </row>
    <row r="904" spans="1:17" x14ac:dyDescent="0.5">
      <c r="A904" t="s">
        <v>119</v>
      </c>
      <c r="B904">
        <v>51995029</v>
      </c>
      <c r="C904" t="s">
        <v>31</v>
      </c>
      <c r="D904" s="1">
        <v>43159</v>
      </c>
      <c r="E904" s="1">
        <v>43523</v>
      </c>
      <c r="F904" t="s">
        <v>40</v>
      </c>
      <c r="G904">
        <v>10</v>
      </c>
      <c r="H904" t="s">
        <v>41</v>
      </c>
      <c r="I904" t="s">
        <v>22</v>
      </c>
      <c r="J904" t="s">
        <v>42</v>
      </c>
      <c r="K904" t="s">
        <v>23</v>
      </c>
      <c r="M904" s="1">
        <v>43206</v>
      </c>
      <c r="N904" t="s">
        <v>47</v>
      </c>
      <c r="O904" t="s">
        <v>45</v>
      </c>
      <c r="Q904" s="1">
        <v>43852</v>
      </c>
    </row>
    <row r="905" spans="1:17" x14ac:dyDescent="0.5">
      <c r="A905" t="s">
        <v>120</v>
      </c>
      <c r="B905">
        <v>52916488</v>
      </c>
      <c r="C905" t="s">
        <v>31</v>
      </c>
      <c r="D905" s="1">
        <v>43159</v>
      </c>
      <c r="E905" s="1">
        <v>43523</v>
      </c>
      <c r="F905" t="s">
        <v>40</v>
      </c>
      <c r="G905">
        <v>10</v>
      </c>
      <c r="H905" t="s">
        <v>41</v>
      </c>
      <c r="I905" t="s">
        <v>22</v>
      </c>
      <c r="J905" t="s">
        <v>42</v>
      </c>
      <c r="K905" t="s">
        <v>23</v>
      </c>
      <c r="L905">
        <v>177405.38</v>
      </c>
      <c r="M905" s="1">
        <v>43159</v>
      </c>
      <c r="N905" t="s">
        <v>24</v>
      </c>
      <c r="O905" t="s">
        <v>45</v>
      </c>
      <c r="Q905" s="1">
        <v>43852</v>
      </c>
    </row>
    <row r="906" spans="1:17" x14ac:dyDescent="0.5">
      <c r="A906" t="s">
        <v>122</v>
      </c>
      <c r="B906">
        <v>52916488</v>
      </c>
      <c r="C906" t="s">
        <v>31</v>
      </c>
      <c r="D906" s="1">
        <v>43159</v>
      </c>
      <c r="E906" s="1">
        <v>43523</v>
      </c>
      <c r="F906" t="s">
        <v>40</v>
      </c>
      <c r="G906">
        <v>10</v>
      </c>
      <c r="H906" t="s">
        <v>41</v>
      </c>
      <c r="I906" t="s">
        <v>22</v>
      </c>
      <c r="J906" t="s">
        <v>42</v>
      </c>
      <c r="K906" t="s">
        <v>23</v>
      </c>
      <c r="M906" s="1">
        <v>43299</v>
      </c>
      <c r="N906" t="s">
        <v>47</v>
      </c>
      <c r="O906" t="s">
        <v>45</v>
      </c>
      <c r="Q906" s="1">
        <v>43852</v>
      </c>
    </row>
    <row r="907" spans="1:17" x14ac:dyDescent="0.5">
      <c r="A907" t="s">
        <v>124</v>
      </c>
      <c r="B907">
        <v>52916488</v>
      </c>
      <c r="C907" t="s">
        <v>31</v>
      </c>
      <c r="D907" s="1">
        <v>43159</v>
      </c>
      <c r="E907" s="1">
        <v>43523</v>
      </c>
      <c r="F907" t="s">
        <v>40</v>
      </c>
      <c r="G907">
        <v>10</v>
      </c>
      <c r="H907" t="s">
        <v>41</v>
      </c>
      <c r="I907" t="s">
        <v>22</v>
      </c>
      <c r="J907" t="s">
        <v>42</v>
      </c>
      <c r="K907" t="s">
        <v>23</v>
      </c>
      <c r="M907" s="1">
        <v>43348</v>
      </c>
      <c r="N907" t="s">
        <v>47</v>
      </c>
      <c r="O907" t="s">
        <v>45</v>
      </c>
      <c r="Q907" s="1">
        <v>43852</v>
      </c>
    </row>
    <row r="908" spans="1:17" x14ac:dyDescent="0.5">
      <c r="A908" t="s">
        <v>126</v>
      </c>
      <c r="B908">
        <v>52916488</v>
      </c>
      <c r="C908" t="s">
        <v>31</v>
      </c>
      <c r="D908" s="1">
        <v>43159</v>
      </c>
      <c r="E908" s="1">
        <v>43523</v>
      </c>
      <c r="F908" t="s">
        <v>40</v>
      </c>
      <c r="G908">
        <v>10</v>
      </c>
      <c r="H908" t="s">
        <v>41</v>
      </c>
      <c r="I908" t="s">
        <v>22</v>
      </c>
      <c r="J908" t="s">
        <v>42</v>
      </c>
      <c r="K908" t="s">
        <v>23</v>
      </c>
      <c r="M908" s="1">
        <v>43200</v>
      </c>
      <c r="N908" t="s">
        <v>47</v>
      </c>
      <c r="O908" t="s">
        <v>45</v>
      </c>
      <c r="Q908" s="1">
        <v>43852</v>
      </c>
    </row>
    <row r="909" spans="1:17" x14ac:dyDescent="0.5">
      <c r="A909" t="s">
        <v>128</v>
      </c>
      <c r="B909">
        <v>52971603</v>
      </c>
      <c r="C909" t="s">
        <v>31</v>
      </c>
      <c r="D909" s="1">
        <v>43263</v>
      </c>
      <c r="E909" s="1">
        <v>43627</v>
      </c>
      <c r="F909" t="s">
        <v>40</v>
      </c>
      <c r="G909">
        <v>10</v>
      </c>
      <c r="H909" t="s">
        <v>41</v>
      </c>
      <c r="I909" t="s">
        <v>22</v>
      </c>
      <c r="J909" t="s">
        <v>42</v>
      </c>
      <c r="K909" t="s">
        <v>66</v>
      </c>
      <c r="L909">
        <v>63872.4</v>
      </c>
      <c r="M909" s="1">
        <v>43263</v>
      </c>
      <c r="N909" t="s">
        <v>24</v>
      </c>
      <c r="O909" t="s">
        <v>252</v>
      </c>
      <c r="P909" t="s">
        <v>253</v>
      </c>
      <c r="Q909" s="1">
        <v>43852</v>
      </c>
    </row>
    <row r="910" spans="1:17" x14ac:dyDescent="0.5">
      <c r="A910" t="s">
        <v>130</v>
      </c>
      <c r="B910">
        <v>52971603</v>
      </c>
      <c r="C910" t="s">
        <v>31</v>
      </c>
      <c r="D910" s="1">
        <v>43263</v>
      </c>
      <c r="E910" s="1">
        <v>43627</v>
      </c>
      <c r="F910" t="s">
        <v>40</v>
      </c>
      <c r="G910">
        <v>10</v>
      </c>
      <c r="H910" t="s">
        <v>41</v>
      </c>
      <c r="I910" t="s">
        <v>22</v>
      </c>
      <c r="J910" t="s">
        <v>42</v>
      </c>
      <c r="K910" t="s">
        <v>66</v>
      </c>
      <c r="M910" s="1">
        <v>43318</v>
      </c>
      <c r="N910" t="s">
        <v>47</v>
      </c>
      <c r="O910" t="s">
        <v>252</v>
      </c>
      <c r="Q910" s="1">
        <v>43852</v>
      </c>
    </row>
    <row r="911" spans="1:17" x14ac:dyDescent="0.5">
      <c r="A911" t="s">
        <v>132</v>
      </c>
      <c r="B911">
        <v>54445288</v>
      </c>
      <c r="C911" t="s">
        <v>19</v>
      </c>
      <c r="D911" s="1">
        <v>43524</v>
      </c>
      <c r="E911" s="1">
        <v>43888</v>
      </c>
      <c r="F911" t="s">
        <v>40</v>
      </c>
      <c r="G911">
        <v>10</v>
      </c>
      <c r="H911" t="s">
        <v>41</v>
      </c>
      <c r="I911" t="s">
        <v>22</v>
      </c>
      <c r="J911" t="s">
        <v>42</v>
      </c>
      <c r="K911" t="s">
        <v>23</v>
      </c>
      <c r="L911">
        <v>11111.4</v>
      </c>
      <c r="M911" s="1">
        <v>43524</v>
      </c>
      <c r="N911" t="s">
        <v>24</v>
      </c>
      <c r="O911" t="s">
        <v>23</v>
      </c>
      <c r="Q911" s="1">
        <v>43852</v>
      </c>
    </row>
    <row r="912" spans="1:17" x14ac:dyDescent="0.5">
      <c r="A912" t="s">
        <v>135</v>
      </c>
      <c r="B912" t="s">
        <v>556</v>
      </c>
      <c r="C912" t="s">
        <v>19</v>
      </c>
      <c r="D912" s="1">
        <v>43524</v>
      </c>
      <c r="E912" s="1">
        <v>43888</v>
      </c>
      <c r="F912" t="s">
        <v>40</v>
      </c>
      <c r="G912">
        <v>10</v>
      </c>
      <c r="H912" t="s">
        <v>41</v>
      </c>
      <c r="I912" t="s">
        <v>22</v>
      </c>
      <c r="J912" t="s">
        <v>42</v>
      </c>
      <c r="K912" t="s">
        <v>23</v>
      </c>
      <c r="L912">
        <v>329250</v>
      </c>
      <c r="M912" s="1">
        <v>43524</v>
      </c>
      <c r="N912" t="s">
        <v>24</v>
      </c>
      <c r="O912" t="s">
        <v>45</v>
      </c>
      <c r="Q912" s="1">
        <v>43852</v>
      </c>
    </row>
    <row r="913" spans="1:17" x14ac:dyDescent="0.5">
      <c r="A913" t="s">
        <v>136</v>
      </c>
      <c r="B913" t="s">
        <v>556</v>
      </c>
      <c r="C913" t="s">
        <v>19</v>
      </c>
      <c r="D913" s="1">
        <v>43524</v>
      </c>
      <c r="E913" s="1">
        <v>43888</v>
      </c>
      <c r="F913" t="s">
        <v>40</v>
      </c>
      <c r="G913">
        <v>10</v>
      </c>
      <c r="H913" t="s">
        <v>41</v>
      </c>
      <c r="I913" t="s">
        <v>22</v>
      </c>
      <c r="J913" t="s">
        <v>42</v>
      </c>
      <c r="K913" t="s">
        <v>23</v>
      </c>
      <c r="L913">
        <v>10772.33</v>
      </c>
      <c r="M913" s="1">
        <v>43538</v>
      </c>
      <c r="N913" t="s">
        <v>47</v>
      </c>
      <c r="O913" t="s">
        <v>45</v>
      </c>
      <c r="Q913" s="1">
        <v>43852</v>
      </c>
    </row>
    <row r="914" spans="1:17" x14ac:dyDescent="0.5">
      <c r="A914" t="s">
        <v>139</v>
      </c>
      <c r="B914" t="s">
        <v>556</v>
      </c>
      <c r="C914" t="s">
        <v>19</v>
      </c>
      <c r="D914" s="1">
        <v>43524</v>
      </c>
      <c r="E914" s="1">
        <v>43888</v>
      </c>
      <c r="F914" t="s">
        <v>40</v>
      </c>
      <c r="G914">
        <v>10</v>
      </c>
      <c r="H914" t="s">
        <v>41</v>
      </c>
      <c r="I914" t="s">
        <v>22</v>
      </c>
      <c r="J914" t="s">
        <v>42</v>
      </c>
      <c r="K914" t="s">
        <v>23</v>
      </c>
      <c r="L914">
        <v>9283.0499999999993</v>
      </c>
      <c r="M914" s="1">
        <v>43573</v>
      </c>
      <c r="N914" t="s">
        <v>47</v>
      </c>
      <c r="O914" t="s">
        <v>45</v>
      </c>
      <c r="Q914" s="1">
        <v>43852</v>
      </c>
    </row>
    <row r="915" spans="1:17" x14ac:dyDescent="0.5">
      <c r="A915" t="s">
        <v>141</v>
      </c>
      <c r="B915" t="s">
        <v>556</v>
      </c>
      <c r="C915" t="s">
        <v>19</v>
      </c>
      <c r="D915" s="1">
        <v>43524</v>
      </c>
      <c r="E915" s="1">
        <v>43888</v>
      </c>
      <c r="F915" t="s">
        <v>40</v>
      </c>
      <c r="G915">
        <v>10</v>
      </c>
      <c r="H915" t="s">
        <v>41</v>
      </c>
      <c r="I915" t="s">
        <v>22</v>
      </c>
      <c r="J915" t="s">
        <v>42</v>
      </c>
      <c r="K915" t="s">
        <v>23</v>
      </c>
      <c r="L915">
        <v>6903.45</v>
      </c>
      <c r="M915" s="1">
        <v>43615</v>
      </c>
      <c r="N915" t="s">
        <v>47</v>
      </c>
      <c r="O915" t="s">
        <v>45</v>
      </c>
      <c r="Q915" s="1">
        <v>43852</v>
      </c>
    </row>
    <row r="916" spans="1:17" x14ac:dyDescent="0.5">
      <c r="A916" t="s">
        <v>143</v>
      </c>
      <c r="B916" t="s">
        <v>556</v>
      </c>
      <c r="C916" t="s">
        <v>19</v>
      </c>
      <c r="D916" s="1">
        <v>43524</v>
      </c>
      <c r="E916" s="1">
        <v>43888</v>
      </c>
      <c r="F916" t="s">
        <v>40</v>
      </c>
      <c r="G916">
        <v>10</v>
      </c>
      <c r="H916" t="s">
        <v>41</v>
      </c>
      <c r="I916" t="s">
        <v>22</v>
      </c>
      <c r="J916" t="s">
        <v>42</v>
      </c>
      <c r="K916" t="s">
        <v>23</v>
      </c>
      <c r="L916">
        <v>399.23</v>
      </c>
      <c r="M916" s="1">
        <v>43637</v>
      </c>
      <c r="N916" t="s">
        <v>47</v>
      </c>
      <c r="O916" t="s">
        <v>45</v>
      </c>
      <c r="Q916" s="1">
        <v>43852</v>
      </c>
    </row>
    <row r="917" spans="1:17" x14ac:dyDescent="0.5">
      <c r="A917" t="s">
        <v>145</v>
      </c>
      <c r="B917" t="s">
        <v>556</v>
      </c>
      <c r="C917" t="s">
        <v>19</v>
      </c>
      <c r="D917" s="1">
        <v>43524</v>
      </c>
      <c r="E917" s="1">
        <v>43888</v>
      </c>
      <c r="F917" t="s">
        <v>40</v>
      </c>
      <c r="G917">
        <v>10</v>
      </c>
      <c r="H917" t="s">
        <v>41</v>
      </c>
      <c r="I917" t="s">
        <v>22</v>
      </c>
      <c r="J917" t="s">
        <v>42</v>
      </c>
      <c r="K917" t="s">
        <v>23</v>
      </c>
      <c r="L917">
        <v>6259.35</v>
      </c>
      <c r="M917" s="1">
        <v>43637</v>
      </c>
      <c r="N917" t="s">
        <v>47</v>
      </c>
      <c r="O917" t="s">
        <v>45</v>
      </c>
      <c r="Q917" s="1">
        <v>43852</v>
      </c>
    </row>
    <row r="918" spans="1:17" x14ac:dyDescent="0.5">
      <c r="A918" t="s">
        <v>147</v>
      </c>
      <c r="B918" t="s">
        <v>556</v>
      </c>
      <c r="C918" t="s">
        <v>19</v>
      </c>
      <c r="D918" s="1">
        <v>43524</v>
      </c>
      <c r="E918" s="1">
        <v>43888</v>
      </c>
      <c r="F918" t="s">
        <v>40</v>
      </c>
      <c r="G918">
        <v>10</v>
      </c>
      <c r="H918" t="s">
        <v>41</v>
      </c>
      <c r="I918" t="s">
        <v>22</v>
      </c>
      <c r="J918" t="s">
        <v>42</v>
      </c>
      <c r="K918" t="s">
        <v>23</v>
      </c>
      <c r="L918">
        <v>7110.45</v>
      </c>
      <c r="M918" s="1">
        <v>43675</v>
      </c>
      <c r="N918" t="s">
        <v>47</v>
      </c>
      <c r="O918" t="s">
        <v>45</v>
      </c>
      <c r="Q918" s="1">
        <v>43852</v>
      </c>
    </row>
    <row r="919" spans="1:17" x14ac:dyDescent="0.5">
      <c r="A919" t="s">
        <v>149</v>
      </c>
      <c r="B919" t="s">
        <v>556</v>
      </c>
      <c r="C919" t="s">
        <v>19</v>
      </c>
      <c r="D919" s="1">
        <v>43524</v>
      </c>
      <c r="E919" s="1">
        <v>43888</v>
      </c>
      <c r="F919" t="s">
        <v>40</v>
      </c>
      <c r="G919">
        <v>10</v>
      </c>
      <c r="H919" t="s">
        <v>41</v>
      </c>
      <c r="I919" t="s">
        <v>22</v>
      </c>
      <c r="J919" t="s">
        <v>42</v>
      </c>
      <c r="K919" t="s">
        <v>23</v>
      </c>
      <c r="L919">
        <v>5501.03</v>
      </c>
      <c r="M919" s="1">
        <v>43759</v>
      </c>
      <c r="N919" t="s">
        <v>47</v>
      </c>
      <c r="O919" t="s">
        <v>45</v>
      </c>
      <c r="Q919" s="1">
        <v>43852</v>
      </c>
    </row>
    <row r="920" spans="1:17" x14ac:dyDescent="0.5">
      <c r="A920" t="s">
        <v>151</v>
      </c>
      <c r="B920" t="s">
        <v>557</v>
      </c>
      <c r="C920" t="s">
        <v>19</v>
      </c>
      <c r="D920" s="1">
        <v>43777</v>
      </c>
      <c r="E920" s="1">
        <v>44142</v>
      </c>
      <c r="F920" t="s">
        <v>40</v>
      </c>
      <c r="G920">
        <v>10</v>
      </c>
      <c r="H920" t="s">
        <v>41</v>
      </c>
      <c r="I920" t="s">
        <v>22</v>
      </c>
      <c r="J920" t="s">
        <v>42</v>
      </c>
      <c r="K920" t="s">
        <v>23</v>
      </c>
      <c r="L920">
        <v>24311.1</v>
      </c>
      <c r="M920" s="1">
        <v>43777</v>
      </c>
      <c r="N920" t="s">
        <v>24</v>
      </c>
      <c r="O920" t="s">
        <v>25</v>
      </c>
      <c r="Q920" s="1">
        <v>43852</v>
      </c>
    </row>
    <row r="921" spans="1:17" x14ac:dyDescent="0.5">
      <c r="A921" t="s">
        <v>153</v>
      </c>
      <c r="B921">
        <v>3.1242012736917002E+18</v>
      </c>
      <c r="C921" t="s">
        <v>19</v>
      </c>
      <c r="D921" s="1">
        <v>43312</v>
      </c>
      <c r="E921" s="1">
        <v>43647</v>
      </c>
      <c r="F921" t="s">
        <v>37</v>
      </c>
      <c r="G921">
        <v>3</v>
      </c>
      <c r="H921" t="s">
        <v>64</v>
      </c>
      <c r="I921" t="s">
        <v>22</v>
      </c>
      <c r="J921" t="s">
        <v>65</v>
      </c>
      <c r="K921" t="s">
        <v>23</v>
      </c>
      <c r="L921">
        <v>42416.75</v>
      </c>
      <c r="M921" s="1">
        <v>43647</v>
      </c>
      <c r="N921" t="s">
        <v>24</v>
      </c>
      <c r="O921" t="s">
        <v>25</v>
      </c>
      <c r="Q921" s="1">
        <v>43852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6BC22-169B-4B9C-9E65-9DA5762D2659}">
  <dimension ref="A1:I10"/>
  <sheetViews>
    <sheetView workbookViewId="0">
      <selection activeCell="D6" sqref="D6"/>
    </sheetView>
  </sheetViews>
  <sheetFormatPr defaultRowHeight="18" x14ac:dyDescent="0.5"/>
  <cols>
    <col min="1" max="1" width="15.77734375" bestFit="1" customWidth="1"/>
    <col min="2" max="2" width="16.33203125" bestFit="1" customWidth="1"/>
    <col min="3" max="3" width="32.44140625" bestFit="1" customWidth="1"/>
    <col min="4" max="4" width="18.109375" bestFit="1" customWidth="1"/>
    <col min="5" max="5" width="21.109375" bestFit="1" customWidth="1"/>
    <col min="6" max="6" width="15.77734375" bestFit="1" customWidth="1"/>
    <col min="7" max="7" width="11.109375" bestFit="1" customWidth="1"/>
    <col min="8" max="8" width="20.21875" bestFit="1" customWidth="1"/>
    <col min="9" max="9" width="28.21875" bestFit="1" customWidth="1"/>
  </cols>
  <sheetData>
    <row r="1" spans="1:9" x14ac:dyDescent="0.5">
      <c r="A1" t="s">
        <v>0</v>
      </c>
      <c r="B1" t="s">
        <v>8</v>
      </c>
      <c r="C1" t="s">
        <v>9</v>
      </c>
      <c r="D1" t="s">
        <v>6</v>
      </c>
      <c r="E1" t="s">
        <v>558</v>
      </c>
      <c r="F1" t="s">
        <v>10</v>
      </c>
      <c r="G1" t="s">
        <v>11</v>
      </c>
      <c r="H1" t="s">
        <v>12</v>
      </c>
      <c r="I1" t="s">
        <v>13</v>
      </c>
    </row>
    <row r="2" spans="1:9" x14ac:dyDescent="0.5">
      <c r="A2" t="s">
        <v>26</v>
      </c>
      <c r="B2" t="s">
        <v>22</v>
      </c>
      <c r="C2" t="s">
        <v>33</v>
      </c>
      <c r="D2">
        <v>3</v>
      </c>
      <c r="E2" t="s">
        <v>559</v>
      </c>
      <c r="F2" t="s">
        <v>66</v>
      </c>
      <c r="G2">
        <v>139240</v>
      </c>
      <c r="H2" s="1">
        <v>43663</v>
      </c>
      <c r="I2" t="s">
        <v>560</v>
      </c>
    </row>
    <row r="3" spans="1:9" x14ac:dyDescent="0.5">
      <c r="A3" t="s">
        <v>29</v>
      </c>
      <c r="B3" t="s">
        <v>22</v>
      </c>
      <c r="C3" t="s">
        <v>33</v>
      </c>
      <c r="D3">
        <v>3</v>
      </c>
      <c r="E3" t="s">
        <v>559</v>
      </c>
      <c r="F3" t="s">
        <v>66</v>
      </c>
      <c r="G3">
        <v>139240</v>
      </c>
      <c r="H3" s="1">
        <v>43486</v>
      </c>
      <c r="I3" t="s">
        <v>560</v>
      </c>
    </row>
    <row r="4" spans="1:9" x14ac:dyDescent="0.5">
      <c r="A4" t="s">
        <v>34</v>
      </c>
      <c r="B4" t="s">
        <v>22</v>
      </c>
      <c r="C4" t="s">
        <v>561</v>
      </c>
      <c r="D4">
        <v>1</v>
      </c>
      <c r="E4" t="s">
        <v>21</v>
      </c>
      <c r="F4" t="s">
        <v>23</v>
      </c>
      <c r="G4">
        <v>2200</v>
      </c>
      <c r="H4" s="1">
        <v>43819</v>
      </c>
      <c r="I4" t="s">
        <v>560</v>
      </c>
    </row>
    <row r="5" spans="1:9" x14ac:dyDescent="0.5">
      <c r="A5" t="s">
        <v>35</v>
      </c>
      <c r="B5" t="s">
        <v>22</v>
      </c>
      <c r="C5" t="s">
        <v>561</v>
      </c>
      <c r="D5">
        <v>1</v>
      </c>
      <c r="E5" t="s">
        <v>21</v>
      </c>
      <c r="F5" t="s">
        <v>23</v>
      </c>
      <c r="G5">
        <v>4500</v>
      </c>
      <c r="H5" s="1">
        <v>43490</v>
      </c>
      <c r="I5" t="s">
        <v>560</v>
      </c>
    </row>
    <row r="6" spans="1:9" x14ac:dyDescent="0.5">
      <c r="A6" t="s">
        <v>38</v>
      </c>
      <c r="B6" t="s">
        <v>22</v>
      </c>
      <c r="C6" t="s">
        <v>33</v>
      </c>
      <c r="D6">
        <v>3</v>
      </c>
      <c r="E6" t="s">
        <v>559</v>
      </c>
      <c r="F6" t="s">
        <v>66</v>
      </c>
      <c r="G6">
        <v>118000</v>
      </c>
      <c r="H6" s="1">
        <v>43539</v>
      </c>
      <c r="I6" t="s">
        <v>560</v>
      </c>
    </row>
    <row r="7" spans="1:9" x14ac:dyDescent="0.5">
      <c r="A7" t="s">
        <v>43</v>
      </c>
      <c r="B7" t="s">
        <v>22</v>
      </c>
      <c r="C7" t="s">
        <v>561</v>
      </c>
      <c r="D7">
        <v>1</v>
      </c>
      <c r="E7" t="s">
        <v>21</v>
      </c>
      <c r="F7" t="s">
        <v>23</v>
      </c>
      <c r="G7">
        <v>2800</v>
      </c>
      <c r="H7" s="1">
        <v>43613</v>
      </c>
      <c r="I7" t="s">
        <v>560</v>
      </c>
    </row>
    <row r="8" spans="1:9" x14ac:dyDescent="0.5">
      <c r="A8" t="s">
        <v>46</v>
      </c>
      <c r="B8" t="s">
        <v>22</v>
      </c>
      <c r="C8" t="s">
        <v>561</v>
      </c>
      <c r="D8">
        <v>1</v>
      </c>
      <c r="E8" t="s">
        <v>21</v>
      </c>
      <c r="F8" t="s">
        <v>23</v>
      </c>
      <c r="G8">
        <v>3241</v>
      </c>
      <c r="H8" s="1">
        <v>43490</v>
      </c>
      <c r="I8" t="s">
        <v>560</v>
      </c>
    </row>
    <row r="9" spans="1:9" x14ac:dyDescent="0.5">
      <c r="A9" t="s">
        <v>48</v>
      </c>
      <c r="B9" t="s">
        <v>22</v>
      </c>
      <c r="C9" t="s">
        <v>37</v>
      </c>
      <c r="D9">
        <v>2</v>
      </c>
      <c r="E9" t="s">
        <v>27</v>
      </c>
      <c r="F9" t="s">
        <v>28</v>
      </c>
      <c r="G9">
        <v>100000</v>
      </c>
      <c r="H9" s="1">
        <v>43565</v>
      </c>
      <c r="I9" t="s">
        <v>560</v>
      </c>
    </row>
    <row r="10" spans="1:9" x14ac:dyDescent="0.5">
      <c r="A10" t="s">
        <v>49</v>
      </c>
      <c r="B10" t="s">
        <v>22</v>
      </c>
      <c r="C10" t="s">
        <v>561</v>
      </c>
      <c r="D10">
        <v>1</v>
      </c>
      <c r="E10" t="s">
        <v>21</v>
      </c>
      <c r="F10" t="s">
        <v>23</v>
      </c>
      <c r="G10">
        <v>5310</v>
      </c>
      <c r="H10" s="1">
        <v>43805</v>
      </c>
      <c r="I10" t="s">
        <v>560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47CBF6-BF05-4E11-8086-3302B06DD1C5}">
  <dimension ref="A1:G11"/>
  <sheetViews>
    <sheetView workbookViewId="0">
      <selection activeCell="B4" sqref="B4"/>
    </sheetView>
  </sheetViews>
  <sheetFormatPr defaultRowHeight="18" x14ac:dyDescent="0.5"/>
  <cols>
    <col min="1" max="1" width="10.6640625" customWidth="1"/>
    <col min="2" max="2" width="18.109375" bestFit="1" customWidth="1"/>
    <col min="3" max="3" width="19" bestFit="1" customWidth="1"/>
    <col min="4" max="4" width="16" bestFit="1" customWidth="1"/>
    <col min="5" max="5" width="15" bestFit="1" customWidth="1"/>
    <col min="6" max="6" width="19.77734375" bestFit="1" customWidth="1"/>
    <col min="7" max="7" width="18.77734375" bestFit="1" customWidth="1"/>
  </cols>
  <sheetData>
    <row r="1" spans="1:7" x14ac:dyDescent="0.5">
      <c r="A1" t="s">
        <v>562</v>
      </c>
      <c r="B1" t="s">
        <v>6</v>
      </c>
      <c r="C1" t="s">
        <v>563</v>
      </c>
      <c r="D1" t="s">
        <v>564</v>
      </c>
      <c r="E1" t="s">
        <v>565</v>
      </c>
      <c r="F1" t="s">
        <v>566</v>
      </c>
      <c r="G1" t="s">
        <v>567</v>
      </c>
    </row>
    <row r="2" spans="1:7" x14ac:dyDescent="0.5">
      <c r="A2" t="s">
        <v>22</v>
      </c>
      <c r="B2">
        <v>1</v>
      </c>
      <c r="C2" t="s">
        <v>21</v>
      </c>
      <c r="D2" t="s">
        <v>568</v>
      </c>
      <c r="E2">
        <v>12788092</v>
      </c>
      <c r="F2">
        <v>250000</v>
      </c>
      <c r="G2">
        <v>1500000</v>
      </c>
    </row>
    <row r="3" spans="1:7" x14ac:dyDescent="0.5">
      <c r="A3" t="s">
        <v>22</v>
      </c>
      <c r="B3">
        <v>2</v>
      </c>
      <c r="C3" t="s">
        <v>27</v>
      </c>
      <c r="D3" t="s">
        <v>569</v>
      </c>
      <c r="E3">
        <v>129902</v>
      </c>
      <c r="F3">
        <v>129000</v>
      </c>
      <c r="G3">
        <v>1289000</v>
      </c>
    </row>
    <row r="4" spans="1:7" x14ac:dyDescent="0.5">
      <c r="A4" t="s">
        <v>22</v>
      </c>
      <c r="B4">
        <v>3</v>
      </c>
      <c r="C4" t="s">
        <v>64</v>
      </c>
      <c r="D4" t="s">
        <v>569</v>
      </c>
      <c r="E4">
        <v>1278023</v>
      </c>
      <c r="F4">
        <v>12365300</v>
      </c>
      <c r="G4">
        <v>12900</v>
      </c>
    </row>
    <row r="5" spans="1:7" x14ac:dyDescent="0.5">
      <c r="A5" t="s">
        <v>22</v>
      </c>
      <c r="B5">
        <v>4</v>
      </c>
      <c r="C5" t="s">
        <v>317</v>
      </c>
      <c r="D5" t="s">
        <v>570</v>
      </c>
      <c r="E5">
        <v>1000000</v>
      </c>
      <c r="F5">
        <v>500000</v>
      </c>
      <c r="G5">
        <v>1010000</v>
      </c>
    </row>
    <row r="6" spans="1:7" x14ac:dyDescent="0.5">
      <c r="A6" t="s">
        <v>22</v>
      </c>
      <c r="B6">
        <v>5</v>
      </c>
      <c r="C6" t="s">
        <v>134</v>
      </c>
      <c r="D6" t="s">
        <v>568</v>
      </c>
      <c r="E6">
        <v>1250000</v>
      </c>
      <c r="F6">
        <v>3500000</v>
      </c>
      <c r="G6">
        <v>750000</v>
      </c>
    </row>
    <row r="7" spans="1:7" x14ac:dyDescent="0.5">
      <c r="A7" t="s">
        <v>22</v>
      </c>
      <c r="B7">
        <v>8</v>
      </c>
      <c r="C7" t="s">
        <v>316</v>
      </c>
      <c r="D7" t="s">
        <v>571</v>
      </c>
      <c r="E7">
        <v>1345000</v>
      </c>
      <c r="F7">
        <v>170034</v>
      </c>
      <c r="G7">
        <v>1298673</v>
      </c>
    </row>
    <row r="8" spans="1:7" x14ac:dyDescent="0.5">
      <c r="A8" t="s">
        <v>22</v>
      </c>
      <c r="B8">
        <v>6</v>
      </c>
      <c r="C8" t="s">
        <v>104</v>
      </c>
      <c r="D8" t="s">
        <v>568</v>
      </c>
      <c r="E8">
        <v>500000</v>
      </c>
      <c r="F8">
        <v>1250000</v>
      </c>
      <c r="G8">
        <v>500000</v>
      </c>
    </row>
    <row r="9" spans="1:7" x14ac:dyDescent="0.5">
      <c r="A9" t="s">
        <v>22</v>
      </c>
      <c r="B9">
        <v>9</v>
      </c>
      <c r="C9" t="s">
        <v>60</v>
      </c>
      <c r="D9" t="s">
        <v>568</v>
      </c>
      <c r="E9">
        <v>1350000</v>
      </c>
      <c r="F9">
        <v>750000</v>
      </c>
      <c r="G9">
        <v>750000</v>
      </c>
    </row>
    <row r="10" spans="1:7" x14ac:dyDescent="0.5">
      <c r="A10" t="s">
        <v>22</v>
      </c>
      <c r="B10">
        <v>10</v>
      </c>
      <c r="C10" t="s">
        <v>41</v>
      </c>
      <c r="D10" t="s">
        <v>569</v>
      </c>
      <c r="E10">
        <v>19888</v>
      </c>
      <c r="F10">
        <v>128777</v>
      </c>
      <c r="G10">
        <v>198882</v>
      </c>
    </row>
    <row r="11" spans="1:7" x14ac:dyDescent="0.5">
      <c r="A11" t="s">
        <v>22</v>
      </c>
      <c r="B11">
        <v>13</v>
      </c>
      <c r="C11" t="s">
        <v>572</v>
      </c>
      <c r="D11" t="s">
        <v>573</v>
      </c>
      <c r="E11">
        <v>12888</v>
      </c>
      <c r="F11">
        <v>1040000</v>
      </c>
      <c r="G11">
        <v>5010000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9BE55-0E76-4628-BA33-330102CD7656}">
  <dimension ref="A1:L205"/>
  <sheetViews>
    <sheetView topLeftCell="A2" workbookViewId="0">
      <selection activeCell="C8" sqref="C8"/>
    </sheetView>
  </sheetViews>
  <sheetFormatPr defaultRowHeight="18" x14ac:dyDescent="0.5"/>
  <cols>
    <col min="1" max="1" width="18.5546875" bestFit="1" customWidth="1"/>
    <col min="2" max="2" width="15.44140625" customWidth="1"/>
    <col min="3" max="3" width="28.21875" bestFit="1" customWidth="1"/>
    <col min="4" max="4" width="16.33203125" bestFit="1" customWidth="1"/>
    <col min="5" max="5" width="32.77734375" bestFit="1" customWidth="1"/>
    <col min="6" max="6" width="19" bestFit="1" customWidth="1"/>
    <col min="7" max="7" width="21.5546875" bestFit="1" customWidth="1"/>
    <col min="8" max="8" width="15.77734375" bestFit="1" customWidth="1"/>
    <col min="9" max="9" width="19.5546875" bestFit="1" customWidth="1"/>
    <col min="10" max="10" width="30" bestFit="1" customWidth="1"/>
    <col min="11" max="11" width="11.109375" bestFit="1" customWidth="1"/>
    <col min="12" max="12" width="20.21875" bestFit="1" customWidth="1"/>
  </cols>
  <sheetData>
    <row r="1" spans="1:12" x14ac:dyDescent="0.5">
      <c r="A1" t="s">
        <v>574</v>
      </c>
      <c r="B1" t="s">
        <v>575</v>
      </c>
      <c r="C1" t="s">
        <v>13</v>
      </c>
      <c r="D1" t="s">
        <v>8</v>
      </c>
      <c r="E1" t="s">
        <v>9</v>
      </c>
      <c r="F1" t="s">
        <v>576</v>
      </c>
      <c r="G1" t="s">
        <v>577</v>
      </c>
      <c r="H1" t="s">
        <v>10</v>
      </c>
      <c r="I1" t="s">
        <v>578</v>
      </c>
      <c r="J1" t="s">
        <v>1</v>
      </c>
      <c r="K1" t="s">
        <v>11</v>
      </c>
      <c r="L1" t="s">
        <v>12</v>
      </c>
    </row>
    <row r="2" spans="1:12" x14ac:dyDescent="0.5">
      <c r="A2">
        <v>1900001087</v>
      </c>
      <c r="B2" s="1">
        <v>43566</v>
      </c>
      <c r="C2" t="s">
        <v>560</v>
      </c>
      <c r="D2" t="s">
        <v>22</v>
      </c>
      <c r="E2" t="s">
        <v>37</v>
      </c>
      <c r="F2">
        <v>10</v>
      </c>
      <c r="G2" t="s">
        <v>41</v>
      </c>
      <c r="H2" t="s">
        <v>28</v>
      </c>
      <c r="I2" t="s">
        <v>26</v>
      </c>
      <c r="K2">
        <v>84746</v>
      </c>
      <c r="L2" s="1">
        <v>43565</v>
      </c>
    </row>
    <row r="3" spans="1:12" x14ac:dyDescent="0.5">
      <c r="A3">
        <v>1900001106</v>
      </c>
      <c r="B3" s="1">
        <v>43602</v>
      </c>
      <c r="C3" t="s">
        <v>24</v>
      </c>
      <c r="D3" t="s">
        <v>22</v>
      </c>
      <c r="E3" t="s">
        <v>65</v>
      </c>
      <c r="F3">
        <v>4</v>
      </c>
      <c r="G3" t="s">
        <v>317</v>
      </c>
      <c r="H3" t="s">
        <v>23</v>
      </c>
      <c r="I3" t="s">
        <v>29</v>
      </c>
      <c r="J3">
        <v>2.4142020928135997E+18</v>
      </c>
      <c r="K3">
        <v>86724</v>
      </c>
      <c r="L3" s="1">
        <v>43466</v>
      </c>
    </row>
    <row r="4" spans="1:12" x14ac:dyDescent="0.5">
      <c r="A4">
        <v>1900001110</v>
      </c>
      <c r="B4" s="1">
        <v>43602</v>
      </c>
      <c r="C4" t="s">
        <v>24</v>
      </c>
      <c r="D4" t="s">
        <v>22</v>
      </c>
      <c r="E4" t="s">
        <v>65</v>
      </c>
      <c r="F4">
        <v>4</v>
      </c>
      <c r="G4" t="s">
        <v>317</v>
      </c>
      <c r="H4" t="s">
        <v>23</v>
      </c>
      <c r="I4" t="s">
        <v>34</v>
      </c>
      <c r="J4" t="s">
        <v>529</v>
      </c>
      <c r="K4">
        <v>148500</v>
      </c>
      <c r="L4" s="1">
        <v>43525</v>
      </c>
    </row>
    <row r="5" spans="1:12" x14ac:dyDescent="0.5">
      <c r="A5">
        <v>1900001136</v>
      </c>
      <c r="B5" s="1">
        <v>43615</v>
      </c>
      <c r="C5" t="s">
        <v>24</v>
      </c>
      <c r="D5" t="s">
        <v>22</v>
      </c>
      <c r="E5" t="s">
        <v>65</v>
      </c>
      <c r="F5">
        <v>1</v>
      </c>
      <c r="G5" t="s">
        <v>21</v>
      </c>
      <c r="H5" t="s">
        <v>66</v>
      </c>
      <c r="I5" t="s">
        <v>35</v>
      </c>
      <c r="J5" t="s">
        <v>552</v>
      </c>
      <c r="K5">
        <v>12019</v>
      </c>
      <c r="L5" s="1">
        <v>43466</v>
      </c>
    </row>
    <row r="6" spans="1:12" x14ac:dyDescent="0.5">
      <c r="A6">
        <v>1900001164</v>
      </c>
      <c r="B6" s="1">
        <v>43627</v>
      </c>
      <c r="C6" t="s">
        <v>24</v>
      </c>
      <c r="D6" t="s">
        <v>22</v>
      </c>
      <c r="E6" t="s">
        <v>65</v>
      </c>
      <c r="F6">
        <v>4</v>
      </c>
      <c r="G6" t="s">
        <v>317</v>
      </c>
      <c r="H6" t="s">
        <v>23</v>
      </c>
      <c r="I6" t="s">
        <v>38</v>
      </c>
      <c r="J6" t="s">
        <v>288</v>
      </c>
      <c r="K6">
        <v>12500</v>
      </c>
      <c r="L6" s="1">
        <v>43522</v>
      </c>
    </row>
    <row r="7" spans="1:12" x14ac:dyDescent="0.5">
      <c r="A7">
        <v>1900001165</v>
      </c>
      <c r="B7" s="1">
        <v>43627</v>
      </c>
      <c r="C7" t="s">
        <v>24</v>
      </c>
      <c r="D7" t="s">
        <v>22</v>
      </c>
      <c r="E7" t="s">
        <v>42</v>
      </c>
      <c r="F7">
        <v>5</v>
      </c>
      <c r="G7" t="s">
        <v>134</v>
      </c>
      <c r="H7" t="s">
        <v>28</v>
      </c>
      <c r="I7" t="s">
        <v>43</v>
      </c>
      <c r="J7">
        <v>206314000000</v>
      </c>
      <c r="K7">
        <v>58300</v>
      </c>
      <c r="L7" s="1">
        <v>43512</v>
      </c>
    </row>
    <row r="8" spans="1:12" x14ac:dyDescent="0.5">
      <c r="A8">
        <v>1900001167</v>
      </c>
      <c r="B8" s="1">
        <v>43629</v>
      </c>
      <c r="C8" t="s">
        <v>24</v>
      </c>
      <c r="D8" t="s">
        <v>22</v>
      </c>
      <c r="E8" t="s">
        <v>65</v>
      </c>
      <c r="F8">
        <v>1</v>
      </c>
      <c r="G8" t="s">
        <v>21</v>
      </c>
      <c r="H8" t="s">
        <v>66</v>
      </c>
      <c r="I8" t="s">
        <v>46</v>
      </c>
      <c r="J8" t="s">
        <v>70</v>
      </c>
      <c r="K8">
        <v>12019</v>
      </c>
      <c r="L8" s="1">
        <v>43466</v>
      </c>
    </row>
    <row r="9" spans="1:12" x14ac:dyDescent="0.5">
      <c r="A9">
        <v>1900001168</v>
      </c>
      <c r="B9" s="1">
        <v>43629</v>
      </c>
      <c r="C9" t="s">
        <v>24</v>
      </c>
      <c r="D9" t="s">
        <v>22</v>
      </c>
      <c r="E9" t="s">
        <v>65</v>
      </c>
      <c r="F9">
        <v>1</v>
      </c>
      <c r="G9" t="s">
        <v>21</v>
      </c>
      <c r="H9" t="s">
        <v>66</v>
      </c>
      <c r="I9" t="s">
        <v>48</v>
      </c>
      <c r="J9" t="s">
        <v>189</v>
      </c>
      <c r="K9">
        <v>30048</v>
      </c>
      <c r="L9" s="1">
        <v>43466</v>
      </c>
    </row>
    <row r="10" spans="1:12" x14ac:dyDescent="0.5">
      <c r="A10">
        <v>1900001169</v>
      </c>
      <c r="B10" s="1">
        <v>43629</v>
      </c>
      <c r="C10" t="s">
        <v>24</v>
      </c>
      <c r="D10" t="s">
        <v>22</v>
      </c>
      <c r="E10" t="s">
        <v>65</v>
      </c>
      <c r="F10">
        <v>4</v>
      </c>
      <c r="G10" t="s">
        <v>317</v>
      </c>
      <c r="H10" t="s">
        <v>23</v>
      </c>
      <c r="I10" t="s">
        <v>49</v>
      </c>
      <c r="J10">
        <v>3.1242015891005998E+18</v>
      </c>
      <c r="K10">
        <v>14394</v>
      </c>
      <c r="L10" s="1">
        <v>43467</v>
      </c>
    </row>
    <row r="11" spans="1:12" x14ac:dyDescent="0.5">
      <c r="A11">
        <v>1900001282</v>
      </c>
      <c r="B11" s="1">
        <v>43659</v>
      </c>
      <c r="C11" t="s">
        <v>24</v>
      </c>
      <c r="D11" t="s">
        <v>22</v>
      </c>
      <c r="E11" t="s">
        <v>42</v>
      </c>
      <c r="F11">
        <v>6</v>
      </c>
      <c r="G11" t="s">
        <v>104</v>
      </c>
      <c r="H11" t="s">
        <v>28</v>
      </c>
      <c r="I11" t="s">
        <v>51</v>
      </c>
      <c r="J11" t="s">
        <v>503</v>
      </c>
      <c r="K11">
        <v>32392</v>
      </c>
      <c r="L11" s="1">
        <v>43595</v>
      </c>
    </row>
    <row r="12" spans="1:12" x14ac:dyDescent="0.5">
      <c r="A12">
        <v>1900001293</v>
      </c>
      <c r="B12" s="1">
        <v>43662</v>
      </c>
      <c r="C12" t="s">
        <v>24</v>
      </c>
      <c r="D12" t="s">
        <v>22</v>
      </c>
      <c r="E12" t="s">
        <v>37</v>
      </c>
      <c r="F12">
        <v>13</v>
      </c>
      <c r="G12" t="s">
        <v>572</v>
      </c>
      <c r="H12" t="s">
        <v>66</v>
      </c>
      <c r="I12" t="s">
        <v>53</v>
      </c>
      <c r="J12" t="s">
        <v>338</v>
      </c>
      <c r="K12">
        <v>162500</v>
      </c>
      <c r="L12" s="1">
        <v>43560</v>
      </c>
    </row>
    <row r="13" spans="1:12" x14ac:dyDescent="0.5">
      <c r="A13">
        <v>1900001294</v>
      </c>
      <c r="B13" s="1">
        <v>43662</v>
      </c>
      <c r="C13" t="s">
        <v>24</v>
      </c>
      <c r="D13" t="s">
        <v>22</v>
      </c>
      <c r="E13" t="s">
        <v>37</v>
      </c>
      <c r="F13">
        <v>13</v>
      </c>
      <c r="G13" t="s">
        <v>572</v>
      </c>
      <c r="H13" t="s">
        <v>66</v>
      </c>
      <c r="I13" t="s">
        <v>55</v>
      </c>
      <c r="J13" t="s">
        <v>339</v>
      </c>
      <c r="K13">
        <v>250000</v>
      </c>
      <c r="L13" s="1">
        <v>43573</v>
      </c>
    </row>
    <row r="14" spans="1:12" x14ac:dyDescent="0.5">
      <c r="A14">
        <v>1900001304</v>
      </c>
      <c r="B14" s="1">
        <v>43663</v>
      </c>
      <c r="C14" t="s">
        <v>24</v>
      </c>
      <c r="D14" t="s">
        <v>22</v>
      </c>
      <c r="E14" t="s">
        <v>65</v>
      </c>
      <c r="F14">
        <v>1</v>
      </c>
      <c r="G14" t="s">
        <v>21</v>
      </c>
      <c r="H14" t="s">
        <v>66</v>
      </c>
      <c r="I14" t="s">
        <v>56</v>
      </c>
      <c r="J14">
        <v>2280082714</v>
      </c>
      <c r="K14">
        <v>2646</v>
      </c>
      <c r="L14" s="1">
        <v>43535</v>
      </c>
    </row>
    <row r="15" spans="1:12" x14ac:dyDescent="0.5">
      <c r="A15">
        <v>1900001305</v>
      </c>
      <c r="B15" s="1">
        <v>43663</v>
      </c>
      <c r="C15" t="s">
        <v>24</v>
      </c>
      <c r="D15" t="s">
        <v>22</v>
      </c>
      <c r="E15" t="s">
        <v>65</v>
      </c>
      <c r="F15">
        <v>4</v>
      </c>
      <c r="G15" t="s">
        <v>317</v>
      </c>
      <c r="H15" t="s">
        <v>28</v>
      </c>
      <c r="I15" t="s">
        <v>58</v>
      </c>
      <c r="J15">
        <v>8502066</v>
      </c>
      <c r="K15">
        <v>18150</v>
      </c>
      <c r="L15" s="1">
        <v>43468</v>
      </c>
    </row>
    <row r="16" spans="1:12" x14ac:dyDescent="0.5">
      <c r="A16">
        <v>1900001306</v>
      </c>
      <c r="B16" s="1">
        <v>43663</v>
      </c>
      <c r="C16" t="s">
        <v>24</v>
      </c>
      <c r="D16" t="s">
        <v>22</v>
      </c>
      <c r="E16" t="s">
        <v>37</v>
      </c>
      <c r="F16">
        <v>2</v>
      </c>
      <c r="G16" t="s">
        <v>27</v>
      </c>
      <c r="H16" t="s">
        <v>66</v>
      </c>
      <c r="I16" t="s">
        <v>62</v>
      </c>
      <c r="J16" t="s">
        <v>304</v>
      </c>
      <c r="K16">
        <v>60025</v>
      </c>
      <c r="L16" s="1">
        <v>43577</v>
      </c>
    </row>
    <row r="17" spans="1:12" x14ac:dyDescent="0.5">
      <c r="A17">
        <v>1900001308</v>
      </c>
      <c r="B17" s="1">
        <v>43663</v>
      </c>
      <c r="C17" t="s">
        <v>24</v>
      </c>
      <c r="D17" t="s">
        <v>22</v>
      </c>
      <c r="E17" t="s">
        <v>33</v>
      </c>
      <c r="F17">
        <v>3</v>
      </c>
      <c r="G17" t="s">
        <v>64</v>
      </c>
      <c r="H17" t="s">
        <v>66</v>
      </c>
      <c r="I17" t="s">
        <v>63</v>
      </c>
      <c r="J17">
        <v>9.9000044190299996E+19</v>
      </c>
      <c r="K17">
        <v>134736</v>
      </c>
      <c r="L17" s="1">
        <v>43580</v>
      </c>
    </row>
    <row r="18" spans="1:12" x14ac:dyDescent="0.5">
      <c r="A18">
        <v>1900001342</v>
      </c>
      <c r="B18" s="1">
        <v>43669</v>
      </c>
      <c r="C18" t="s">
        <v>24</v>
      </c>
      <c r="D18" t="s">
        <v>22</v>
      </c>
      <c r="E18" t="s">
        <v>42</v>
      </c>
      <c r="F18">
        <v>6</v>
      </c>
      <c r="G18" t="s">
        <v>104</v>
      </c>
      <c r="H18" t="s">
        <v>23</v>
      </c>
      <c r="I18" t="s">
        <v>67</v>
      </c>
      <c r="J18" t="s">
        <v>503</v>
      </c>
      <c r="K18">
        <v>914999</v>
      </c>
      <c r="L18" s="1">
        <v>43466</v>
      </c>
    </row>
    <row r="19" spans="1:12" x14ac:dyDescent="0.5">
      <c r="A19">
        <v>1900001354</v>
      </c>
      <c r="B19" s="1">
        <v>43670</v>
      </c>
      <c r="C19" t="s">
        <v>24</v>
      </c>
      <c r="D19" t="s">
        <v>22</v>
      </c>
      <c r="E19" t="s">
        <v>65</v>
      </c>
      <c r="F19">
        <v>1</v>
      </c>
      <c r="G19" t="s">
        <v>21</v>
      </c>
      <c r="H19" t="s">
        <v>66</v>
      </c>
      <c r="I19" t="s">
        <v>69</v>
      </c>
      <c r="J19">
        <v>3.1142027482102001E+18</v>
      </c>
      <c r="K19">
        <v>2942</v>
      </c>
      <c r="L19" s="1">
        <v>43566</v>
      </c>
    </row>
    <row r="20" spans="1:12" x14ac:dyDescent="0.5">
      <c r="A20">
        <v>1900001355</v>
      </c>
      <c r="B20" s="1">
        <v>43670</v>
      </c>
      <c r="C20" t="s">
        <v>24</v>
      </c>
      <c r="D20" t="s">
        <v>22</v>
      </c>
      <c r="E20" t="s">
        <v>65</v>
      </c>
      <c r="F20">
        <v>1</v>
      </c>
      <c r="G20" t="s">
        <v>21</v>
      </c>
      <c r="H20" t="s">
        <v>66</v>
      </c>
      <c r="I20" t="s">
        <v>71</v>
      </c>
      <c r="J20" t="s">
        <v>335</v>
      </c>
      <c r="K20">
        <v>6740</v>
      </c>
      <c r="L20" s="1">
        <v>43528</v>
      </c>
    </row>
    <row r="21" spans="1:12" x14ac:dyDescent="0.5">
      <c r="A21">
        <v>1900001356</v>
      </c>
      <c r="B21" s="1">
        <v>43670</v>
      </c>
      <c r="C21" t="s">
        <v>24</v>
      </c>
      <c r="D21" t="s">
        <v>22</v>
      </c>
      <c r="E21" t="s">
        <v>65</v>
      </c>
      <c r="F21">
        <v>4</v>
      </c>
      <c r="G21" t="s">
        <v>317</v>
      </c>
      <c r="H21" t="s">
        <v>23</v>
      </c>
      <c r="I21" t="s">
        <v>72</v>
      </c>
      <c r="J21" t="s">
        <v>334</v>
      </c>
      <c r="K21">
        <v>6740</v>
      </c>
      <c r="L21" s="1">
        <v>43513</v>
      </c>
    </row>
    <row r="22" spans="1:12" x14ac:dyDescent="0.5">
      <c r="A22">
        <v>1900001361</v>
      </c>
      <c r="B22" s="1">
        <v>43673</v>
      </c>
      <c r="C22" t="s">
        <v>24</v>
      </c>
      <c r="D22" t="s">
        <v>22</v>
      </c>
      <c r="E22" t="s">
        <v>37</v>
      </c>
      <c r="F22">
        <v>3</v>
      </c>
      <c r="G22" t="s">
        <v>64</v>
      </c>
      <c r="H22" t="s">
        <v>66</v>
      </c>
      <c r="I22" t="s">
        <v>74</v>
      </c>
      <c r="J22">
        <v>41045707</v>
      </c>
      <c r="K22">
        <v>74250</v>
      </c>
      <c r="L22" s="1">
        <v>43556</v>
      </c>
    </row>
    <row r="23" spans="1:12" x14ac:dyDescent="0.5">
      <c r="A23">
        <v>1900001376</v>
      </c>
      <c r="B23" s="1">
        <v>43675</v>
      </c>
      <c r="C23" t="s">
        <v>24</v>
      </c>
      <c r="D23" t="s">
        <v>22</v>
      </c>
      <c r="E23" t="s">
        <v>42</v>
      </c>
      <c r="F23">
        <v>6</v>
      </c>
      <c r="G23" t="s">
        <v>104</v>
      </c>
      <c r="H23" t="s">
        <v>28</v>
      </c>
      <c r="I23" t="s">
        <v>76</v>
      </c>
      <c r="J23" t="s">
        <v>504</v>
      </c>
      <c r="K23">
        <v>1614</v>
      </c>
      <c r="L23" s="1">
        <v>43535</v>
      </c>
    </row>
    <row r="24" spans="1:12" x14ac:dyDescent="0.5">
      <c r="A24">
        <v>1900001377</v>
      </c>
      <c r="B24" s="1">
        <v>43675</v>
      </c>
      <c r="C24" t="s">
        <v>24</v>
      </c>
      <c r="D24" t="s">
        <v>22</v>
      </c>
      <c r="E24" t="s">
        <v>20</v>
      </c>
      <c r="F24">
        <v>13</v>
      </c>
      <c r="G24" t="s">
        <v>572</v>
      </c>
      <c r="H24" t="s">
        <v>66</v>
      </c>
      <c r="I24" t="s">
        <v>78</v>
      </c>
      <c r="J24" t="s">
        <v>435</v>
      </c>
      <c r="K24">
        <v>11540</v>
      </c>
      <c r="L24" s="1">
        <v>43494</v>
      </c>
    </row>
    <row r="25" spans="1:12" x14ac:dyDescent="0.5">
      <c r="A25">
        <v>1900001385</v>
      </c>
      <c r="B25" s="1">
        <v>43677</v>
      </c>
      <c r="C25" t="s">
        <v>24</v>
      </c>
      <c r="D25" t="s">
        <v>22</v>
      </c>
      <c r="E25" t="s">
        <v>65</v>
      </c>
      <c r="F25">
        <v>4</v>
      </c>
      <c r="G25" t="s">
        <v>317</v>
      </c>
      <c r="H25" t="s">
        <v>28</v>
      </c>
      <c r="I25" t="s">
        <v>79</v>
      </c>
      <c r="J25" t="s">
        <v>525</v>
      </c>
      <c r="K25">
        <v>2140</v>
      </c>
      <c r="L25" s="1">
        <v>43495</v>
      </c>
    </row>
    <row r="26" spans="1:12" x14ac:dyDescent="0.5">
      <c r="A26">
        <v>1900001388</v>
      </c>
      <c r="B26" s="1">
        <v>43677</v>
      </c>
      <c r="C26" t="s">
        <v>24</v>
      </c>
      <c r="D26" t="s">
        <v>22</v>
      </c>
      <c r="E26" t="s">
        <v>65</v>
      </c>
      <c r="F26">
        <v>4</v>
      </c>
      <c r="G26" t="s">
        <v>317</v>
      </c>
      <c r="H26" t="s">
        <v>23</v>
      </c>
      <c r="I26" t="s">
        <v>80</v>
      </c>
      <c r="J26" t="s">
        <v>215</v>
      </c>
      <c r="K26">
        <v>45375</v>
      </c>
      <c r="L26" s="1">
        <v>43525</v>
      </c>
    </row>
    <row r="27" spans="1:12" x14ac:dyDescent="0.5">
      <c r="A27">
        <v>1900001390</v>
      </c>
      <c r="B27" s="1">
        <v>43677</v>
      </c>
      <c r="C27" t="s">
        <v>24</v>
      </c>
      <c r="D27" t="s">
        <v>22</v>
      </c>
      <c r="E27" t="s">
        <v>65</v>
      </c>
      <c r="F27">
        <v>1</v>
      </c>
      <c r="G27" t="s">
        <v>21</v>
      </c>
      <c r="H27" t="s">
        <v>66</v>
      </c>
      <c r="I27" t="s">
        <v>81</v>
      </c>
      <c r="J27">
        <v>32119154</v>
      </c>
      <c r="K27">
        <v>11593</v>
      </c>
      <c r="L27" s="1">
        <v>43556</v>
      </c>
    </row>
    <row r="28" spans="1:12" x14ac:dyDescent="0.5">
      <c r="A28">
        <v>1900001392</v>
      </c>
      <c r="B28" s="1">
        <v>43677</v>
      </c>
      <c r="C28" t="s">
        <v>24</v>
      </c>
      <c r="D28" t="s">
        <v>22</v>
      </c>
      <c r="E28" t="s">
        <v>42</v>
      </c>
      <c r="F28">
        <v>6</v>
      </c>
      <c r="G28" t="s">
        <v>104</v>
      </c>
      <c r="H28" t="s">
        <v>28</v>
      </c>
      <c r="I28" t="s">
        <v>84</v>
      </c>
      <c r="J28" t="s">
        <v>503</v>
      </c>
      <c r="K28">
        <v>46995</v>
      </c>
      <c r="L28" s="1">
        <v>43494</v>
      </c>
    </row>
    <row r="29" spans="1:12" x14ac:dyDescent="0.5">
      <c r="A29">
        <v>1900001393</v>
      </c>
      <c r="B29" s="1">
        <v>43677</v>
      </c>
      <c r="C29" t="s">
        <v>24</v>
      </c>
      <c r="D29" t="s">
        <v>22</v>
      </c>
      <c r="E29" t="s">
        <v>65</v>
      </c>
      <c r="F29">
        <v>1</v>
      </c>
      <c r="G29" t="s">
        <v>21</v>
      </c>
      <c r="H29" t="s">
        <v>66</v>
      </c>
      <c r="I29" t="s">
        <v>86</v>
      </c>
      <c r="J29" t="s">
        <v>337</v>
      </c>
      <c r="K29">
        <v>529</v>
      </c>
      <c r="L29" s="1">
        <v>43514</v>
      </c>
    </row>
    <row r="30" spans="1:12" x14ac:dyDescent="0.5">
      <c r="A30">
        <v>1900001394</v>
      </c>
      <c r="B30" s="1">
        <v>43677</v>
      </c>
      <c r="C30" t="s">
        <v>24</v>
      </c>
      <c r="D30" t="s">
        <v>22</v>
      </c>
      <c r="E30" t="s">
        <v>65</v>
      </c>
      <c r="F30">
        <v>4</v>
      </c>
      <c r="G30" t="s">
        <v>317</v>
      </c>
      <c r="H30" t="s">
        <v>23</v>
      </c>
      <c r="I30" t="s">
        <v>87</v>
      </c>
      <c r="J30" t="s">
        <v>109</v>
      </c>
      <c r="K30">
        <v>18563</v>
      </c>
      <c r="L30" s="1">
        <v>43525</v>
      </c>
    </row>
    <row r="31" spans="1:12" x14ac:dyDescent="0.5">
      <c r="A31">
        <v>1900001396</v>
      </c>
      <c r="B31" s="1">
        <v>43677</v>
      </c>
      <c r="C31" t="s">
        <v>24</v>
      </c>
      <c r="D31" t="s">
        <v>22</v>
      </c>
      <c r="E31" t="s">
        <v>42</v>
      </c>
      <c r="F31">
        <v>6</v>
      </c>
      <c r="G31" t="s">
        <v>104</v>
      </c>
      <c r="H31" t="s">
        <v>28</v>
      </c>
      <c r="I31" t="s">
        <v>88</v>
      </c>
      <c r="J31" t="s">
        <v>503</v>
      </c>
      <c r="K31">
        <v>27435</v>
      </c>
      <c r="L31" s="1">
        <v>43488</v>
      </c>
    </row>
    <row r="32" spans="1:12" x14ac:dyDescent="0.5">
      <c r="A32">
        <v>1900001397</v>
      </c>
      <c r="B32" s="1">
        <v>43677</v>
      </c>
      <c r="C32" t="s">
        <v>24</v>
      </c>
      <c r="D32" t="s">
        <v>22</v>
      </c>
      <c r="E32" t="s">
        <v>42</v>
      </c>
      <c r="F32">
        <v>6</v>
      </c>
      <c r="G32" t="s">
        <v>104</v>
      </c>
      <c r="H32" t="s">
        <v>23</v>
      </c>
      <c r="I32" t="s">
        <v>90</v>
      </c>
      <c r="J32" t="s">
        <v>555</v>
      </c>
      <c r="K32">
        <v>25336</v>
      </c>
      <c r="L32" s="1">
        <v>43522</v>
      </c>
    </row>
    <row r="33" spans="1:12" x14ac:dyDescent="0.5">
      <c r="A33">
        <v>1900001398</v>
      </c>
      <c r="B33" s="1">
        <v>43677</v>
      </c>
      <c r="C33" t="s">
        <v>24</v>
      </c>
      <c r="D33" t="s">
        <v>22</v>
      </c>
      <c r="E33" t="s">
        <v>42</v>
      </c>
      <c r="F33">
        <v>6</v>
      </c>
      <c r="G33" t="s">
        <v>104</v>
      </c>
      <c r="H33" t="s">
        <v>66</v>
      </c>
      <c r="I33" t="s">
        <v>92</v>
      </c>
      <c r="J33" t="s">
        <v>556</v>
      </c>
      <c r="K33">
        <v>10772</v>
      </c>
      <c r="L33" s="1">
        <v>43538</v>
      </c>
    </row>
    <row r="34" spans="1:12" x14ac:dyDescent="0.5">
      <c r="A34">
        <v>1900001403</v>
      </c>
      <c r="B34" s="1">
        <v>43677</v>
      </c>
      <c r="C34" t="s">
        <v>24</v>
      </c>
      <c r="D34" t="s">
        <v>22</v>
      </c>
      <c r="E34" t="s">
        <v>42</v>
      </c>
      <c r="F34">
        <v>6</v>
      </c>
      <c r="G34" t="s">
        <v>104</v>
      </c>
      <c r="H34" t="s">
        <v>66</v>
      </c>
      <c r="I34" t="s">
        <v>94</v>
      </c>
      <c r="J34" t="s">
        <v>556</v>
      </c>
      <c r="K34">
        <v>9283</v>
      </c>
      <c r="L34" s="1">
        <v>43573</v>
      </c>
    </row>
    <row r="35" spans="1:12" x14ac:dyDescent="0.5">
      <c r="A35">
        <v>1900001404</v>
      </c>
      <c r="B35" s="1">
        <v>43677</v>
      </c>
      <c r="C35" t="s">
        <v>24</v>
      </c>
      <c r="D35" t="s">
        <v>22</v>
      </c>
      <c r="E35" t="s">
        <v>42</v>
      </c>
      <c r="F35">
        <v>6</v>
      </c>
      <c r="G35" t="s">
        <v>104</v>
      </c>
      <c r="H35" t="s">
        <v>66</v>
      </c>
      <c r="I35" t="s">
        <v>96</v>
      </c>
      <c r="J35" t="s">
        <v>556</v>
      </c>
      <c r="K35">
        <v>6903</v>
      </c>
      <c r="L35" s="1">
        <v>43615</v>
      </c>
    </row>
    <row r="36" spans="1:12" x14ac:dyDescent="0.5">
      <c r="A36">
        <v>1900001405</v>
      </c>
      <c r="B36" s="1">
        <v>43677</v>
      </c>
      <c r="C36" t="s">
        <v>24</v>
      </c>
      <c r="D36" t="s">
        <v>22</v>
      </c>
      <c r="E36" t="s">
        <v>33</v>
      </c>
      <c r="F36">
        <v>13</v>
      </c>
      <c r="G36" t="s">
        <v>572</v>
      </c>
      <c r="H36" t="s">
        <v>23</v>
      </c>
      <c r="I36" t="s">
        <v>97</v>
      </c>
      <c r="J36" t="s">
        <v>456</v>
      </c>
      <c r="K36">
        <v>90663</v>
      </c>
      <c r="L36" s="1">
        <v>43556</v>
      </c>
    </row>
    <row r="37" spans="1:12" x14ac:dyDescent="0.5">
      <c r="A37">
        <v>1900001583</v>
      </c>
      <c r="B37" s="1">
        <v>43691</v>
      </c>
      <c r="C37" t="s">
        <v>24</v>
      </c>
      <c r="D37" t="s">
        <v>22</v>
      </c>
      <c r="E37" t="s">
        <v>42</v>
      </c>
      <c r="F37">
        <v>6</v>
      </c>
      <c r="G37" t="s">
        <v>104</v>
      </c>
      <c r="H37" t="s">
        <v>23</v>
      </c>
      <c r="I37" t="s">
        <v>98</v>
      </c>
      <c r="J37" t="s">
        <v>546</v>
      </c>
      <c r="K37">
        <v>156000</v>
      </c>
      <c r="L37" s="1">
        <v>43469</v>
      </c>
    </row>
    <row r="38" spans="1:12" x14ac:dyDescent="0.5">
      <c r="A38">
        <v>1900001602</v>
      </c>
      <c r="B38" s="1">
        <v>43694</v>
      </c>
      <c r="C38" t="s">
        <v>24</v>
      </c>
      <c r="D38" t="s">
        <v>22</v>
      </c>
      <c r="E38" t="s">
        <v>65</v>
      </c>
      <c r="F38">
        <v>1</v>
      </c>
      <c r="G38" t="s">
        <v>21</v>
      </c>
      <c r="H38" t="s">
        <v>66</v>
      </c>
      <c r="I38" t="s">
        <v>100</v>
      </c>
      <c r="J38" t="s">
        <v>551</v>
      </c>
      <c r="K38">
        <v>21157</v>
      </c>
      <c r="L38" s="1">
        <v>43466</v>
      </c>
    </row>
    <row r="39" spans="1:12" x14ac:dyDescent="0.5">
      <c r="A39">
        <v>1900001603</v>
      </c>
      <c r="B39" s="1">
        <v>43694</v>
      </c>
      <c r="C39" t="s">
        <v>24</v>
      </c>
      <c r="D39" t="s">
        <v>22</v>
      </c>
      <c r="E39" t="s">
        <v>65</v>
      </c>
      <c r="F39">
        <v>1</v>
      </c>
      <c r="G39" t="s">
        <v>21</v>
      </c>
      <c r="H39" t="s">
        <v>66</v>
      </c>
      <c r="I39" t="s">
        <v>102</v>
      </c>
      <c r="J39" t="s">
        <v>187</v>
      </c>
      <c r="K39">
        <v>77787</v>
      </c>
      <c r="L39" s="1">
        <v>43466</v>
      </c>
    </row>
    <row r="40" spans="1:12" x14ac:dyDescent="0.5">
      <c r="A40">
        <v>1900001604</v>
      </c>
      <c r="B40" s="1">
        <v>43694</v>
      </c>
      <c r="C40" t="s">
        <v>24</v>
      </c>
      <c r="D40" t="s">
        <v>22</v>
      </c>
      <c r="E40" t="s">
        <v>65</v>
      </c>
      <c r="F40">
        <v>1</v>
      </c>
      <c r="G40" t="s">
        <v>21</v>
      </c>
      <c r="H40" t="s">
        <v>66</v>
      </c>
      <c r="I40" t="s">
        <v>103</v>
      </c>
      <c r="J40" t="s">
        <v>336</v>
      </c>
      <c r="K40">
        <v>8468</v>
      </c>
      <c r="L40" s="1">
        <v>43514</v>
      </c>
    </row>
    <row r="41" spans="1:12" x14ac:dyDescent="0.5">
      <c r="A41">
        <v>1900001605</v>
      </c>
      <c r="B41" s="1">
        <v>43694</v>
      </c>
      <c r="C41" t="s">
        <v>24</v>
      </c>
      <c r="D41" t="s">
        <v>22</v>
      </c>
      <c r="E41" t="s">
        <v>42</v>
      </c>
      <c r="F41">
        <v>6</v>
      </c>
      <c r="G41" t="s">
        <v>104</v>
      </c>
      <c r="H41" t="s">
        <v>23</v>
      </c>
      <c r="I41" t="s">
        <v>105</v>
      </c>
      <c r="J41" t="s">
        <v>39</v>
      </c>
      <c r="K41">
        <v>1825</v>
      </c>
      <c r="L41" s="1">
        <v>43497</v>
      </c>
    </row>
    <row r="42" spans="1:12" x14ac:dyDescent="0.5">
      <c r="A42">
        <v>1900001606</v>
      </c>
      <c r="B42" s="1">
        <v>43694</v>
      </c>
      <c r="C42" t="s">
        <v>24</v>
      </c>
      <c r="D42" t="s">
        <v>22</v>
      </c>
      <c r="E42" t="s">
        <v>42</v>
      </c>
      <c r="F42">
        <v>6</v>
      </c>
      <c r="G42" t="s">
        <v>104</v>
      </c>
      <c r="H42" t="s">
        <v>23</v>
      </c>
      <c r="I42" t="s">
        <v>106</v>
      </c>
      <c r="J42" t="s">
        <v>556</v>
      </c>
      <c r="K42">
        <v>329250</v>
      </c>
      <c r="L42" s="1">
        <v>43524</v>
      </c>
    </row>
    <row r="43" spans="1:12" x14ac:dyDescent="0.5">
      <c r="A43">
        <v>1900001607</v>
      </c>
      <c r="B43" s="1">
        <v>43694</v>
      </c>
      <c r="C43" t="s">
        <v>24</v>
      </c>
      <c r="D43" t="s">
        <v>22</v>
      </c>
      <c r="E43" t="s">
        <v>65</v>
      </c>
      <c r="F43">
        <v>4</v>
      </c>
      <c r="G43" t="s">
        <v>317</v>
      </c>
      <c r="H43" t="s">
        <v>23</v>
      </c>
      <c r="I43" t="s">
        <v>108</v>
      </c>
      <c r="J43">
        <v>304003763</v>
      </c>
      <c r="K43">
        <v>344794</v>
      </c>
      <c r="L43" s="1">
        <v>43556</v>
      </c>
    </row>
    <row r="44" spans="1:12" x14ac:dyDescent="0.5">
      <c r="A44">
        <v>1900001608</v>
      </c>
      <c r="B44" s="1">
        <v>43694</v>
      </c>
      <c r="C44" t="s">
        <v>24</v>
      </c>
      <c r="D44" t="s">
        <v>22</v>
      </c>
      <c r="E44" t="s">
        <v>65</v>
      </c>
      <c r="F44">
        <v>4</v>
      </c>
      <c r="G44" t="s">
        <v>317</v>
      </c>
      <c r="H44" t="s">
        <v>23</v>
      </c>
      <c r="I44" t="s">
        <v>110</v>
      </c>
      <c r="J44" t="s">
        <v>321</v>
      </c>
      <c r="K44">
        <v>37500</v>
      </c>
      <c r="L44" s="1">
        <v>43556</v>
      </c>
    </row>
    <row r="45" spans="1:12" x14ac:dyDescent="0.5">
      <c r="A45">
        <v>1900001609</v>
      </c>
      <c r="B45" s="1">
        <v>43694</v>
      </c>
      <c r="C45" t="s">
        <v>24</v>
      </c>
      <c r="D45" t="s">
        <v>22</v>
      </c>
      <c r="E45" t="s">
        <v>42</v>
      </c>
      <c r="F45">
        <v>6</v>
      </c>
      <c r="G45" t="s">
        <v>104</v>
      </c>
      <c r="H45" t="s">
        <v>23</v>
      </c>
      <c r="I45" t="s">
        <v>112</v>
      </c>
      <c r="J45" t="s">
        <v>504</v>
      </c>
      <c r="K45">
        <v>49789</v>
      </c>
      <c r="L45" s="1">
        <v>43466</v>
      </c>
    </row>
    <row r="46" spans="1:12" x14ac:dyDescent="0.5">
      <c r="A46">
        <v>1900001610</v>
      </c>
      <c r="B46" s="1">
        <v>43694</v>
      </c>
      <c r="C46" t="s">
        <v>24</v>
      </c>
      <c r="D46" t="s">
        <v>22</v>
      </c>
      <c r="E46" t="s">
        <v>65</v>
      </c>
      <c r="F46">
        <v>4</v>
      </c>
      <c r="G46" t="s">
        <v>317</v>
      </c>
      <c r="H46" t="s">
        <v>23</v>
      </c>
      <c r="I46" t="s">
        <v>114</v>
      </c>
      <c r="J46" t="s">
        <v>238</v>
      </c>
      <c r="K46">
        <v>64</v>
      </c>
      <c r="L46" s="1">
        <v>43540</v>
      </c>
    </row>
    <row r="47" spans="1:12" x14ac:dyDescent="0.5">
      <c r="A47">
        <v>1900001611</v>
      </c>
      <c r="B47" s="1">
        <v>43694</v>
      </c>
      <c r="C47" t="s">
        <v>24</v>
      </c>
      <c r="D47" t="s">
        <v>22</v>
      </c>
      <c r="E47" t="s">
        <v>65</v>
      </c>
      <c r="F47">
        <v>4</v>
      </c>
      <c r="G47" t="s">
        <v>317</v>
      </c>
      <c r="H47" t="s">
        <v>23</v>
      </c>
      <c r="I47" t="s">
        <v>115</v>
      </c>
      <c r="J47" t="s">
        <v>286</v>
      </c>
      <c r="K47">
        <v>6250</v>
      </c>
      <c r="L47" s="1">
        <v>43520</v>
      </c>
    </row>
    <row r="48" spans="1:12" x14ac:dyDescent="0.5">
      <c r="A48">
        <v>1900002041</v>
      </c>
      <c r="B48" s="1">
        <v>43705</v>
      </c>
      <c r="C48" t="s">
        <v>24</v>
      </c>
      <c r="D48" t="s">
        <v>22</v>
      </c>
      <c r="E48" t="s">
        <v>144</v>
      </c>
      <c r="F48">
        <v>1</v>
      </c>
      <c r="G48" t="s">
        <v>21</v>
      </c>
      <c r="H48" t="s">
        <v>23</v>
      </c>
      <c r="I48" t="s">
        <v>117</v>
      </c>
      <c r="J48">
        <v>1.31000501801E+19</v>
      </c>
      <c r="K48">
        <v>124875</v>
      </c>
      <c r="L48" s="1">
        <v>43531</v>
      </c>
    </row>
    <row r="49" spans="1:12" x14ac:dyDescent="0.5">
      <c r="A49">
        <v>1900002042</v>
      </c>
      <c r="B49" s="1">
        <v>43705</v>
      </c>
      <c r="C49" t="s">
        <v>24</v>
      </c>
      <c r="D49" t="s">
        <v>22</v>
      </c>
      <c r="E49" t="s">
        <v>37</v>
      </c>
      <c r="F49">
        <v>3</v>
      </c>
      <c r="G49" t="s">
        <v>64</v>
      </c>
      <c r="H49" t="s">
        <v>66</v>
      </c>
      <c r="I49" t="s">
        <v>119</v>
      </c>
      <c r="J49">
        <v>43190133</v>
      </c>
      <c r="K49">
        <v>7783</v>
      </c>
      <c r="L49" s="1">
        <v>43627</v>
      </c>
    </row>
    <row r="50" spans="1:12" x14ac:dyDescent="0.5">
      <c r="A50">
        <v>1900002043</v>
      </c>
      <c r="B50" s="1">
        <v>43705</v>
      </c>
      <c r="C50" t="s">
        <v>24</v>
      </c>
      <c r="D50" t="s">
        <v>22</v>
      </c>
      <c r="E50" t="s">
        <v>37</v>
      </c>
      <c r="F50">
        <v>3</v>
      </c>
      <c r="G50" t="s">
        <v>64</v>
      </c>
      <c r="H50" t="s">
        <v>66</v>
      </c>
      <c r="I50" t="s">
        <v>120</v>
      </c>
      <c r="J50">
        <v>43189992</v>
      </c>
      <c r="K50">
        <v>7835</v>
      </c>
      <c r="L50" s="1">
        <v>43626</v>
      </c>
    </row>
    <row r="51" spans="1:12" x14ac:dyDescent="0.5">
      <c r="A51">
        <v>1900002044</v>
      </c>
      <c r="B51" s="1">
        <v>43705</v>
      </c>
      <c r="C51" t="s">
        <v>24</v>
      </c>
      <c r="D51" t="s">
        <v>22</v>
      </c>
      <c r="E51" t="s">
        <v>37</v>
      </c>
      <c r="F51">
        <v>5</v>
      </c>
      <c r="G51" t="s">
        <v>134</v>
      </c>
      <c r="H51" t="s">
        <v>28</v>
      </c>
      <c r="I51" t="s">
        <v>122</v>
      </c>
      <c r="J51">
        <v>41045400</v>
      </c>
      <c r="K51">
        <v>70125</v>
      </c>
      <c r="L51" s="1">
        <v>43543</v>
      </c>
    </row>
    <row r="52" spans="1:12" x14ac:dyDescent="0.5">
      <c r="A52">
        <v>1900002045</v>
      </c>
      <c r="B52" s="1">
        <v>43705</v>
      </c>
      <c r="C52" t="s">
        <v>24</v>
      </c>
      <c r="D52" t="s">
        <v>22</v>
      </c>
      <c r="E52" t="s">
        <v>37</v>
      </c>
      <c r="F52">
        <v>5</v>
      </c>
      <c r="G52" t="s">
        <v>134</v>
      </c>
      <c r="H52" t="s">
        <v>28</v>
      </c>
      <c r="I52" t="s">
        <v>124</v>
      </c>
      <c r="J52">
        <v>41045403</v>
      </c>
      <c r="K52">
        <v>70125</v>
      </c>
      <c r="L52" s="1">
        <v>43543</v>
      </c>
    </row>
    <row r="53" spans="1:12" x14ac:dyDescent="0.5">
      <c r="A53">
        <v>1900002046</v>
      </c>
      <c r="B53" s="1">
        <v>43705</v>
      </c>
      <c r="C53" t="s">
        <v>24</v>
      </c>
      <c r="D53" t="s">
        <v>22</v>
      </c>
      <c r="E53" t="s">
        <v>54</v>
      </c>
      <c r="F53">
        <v>13</v>
      </c>
      <c r="G53" t="s">
        <v>572</v>
      </c>
      <c r="H53" t="s">
        <v>23</v>
      </c>
      <c r="I53" t="s">
        <v>126</v>
      </c>
      <c r="J53" t="s">
        <v>466</v>
      </c>
      <c r="K53">
        <v>60229</v>
      </c>
      <c r="L53" s="1">
        <v>43556</v>
      </c>
    </row>
    <row r="54" spans="1:12" x14ac:dyDescent="0.5">
      <c r="A54">
        <v>1900002047</v>
      </c>
      <c r="B54" s="1">
        <v>43705</v>
      </c>
      <c r="C54" t="s">
        <v>24</v>
      </c>
      <c r="D54" t="s">
        <v>22</v>
      </c>
      <c r="E54" t="s">
        <v>54</v>
      </c>
      <c r="F54">
        <v>13</v>
      </c>
      <c r="G54" t="s">
        <v>572</v>
      </c>
      <c r="H54" t="s">
        <v>23</v>
      </c>
      <c r="I54" t="s">
        <v>128</v>
      </c>
      <c r="J54" t="s">
        <v>427</v>
      </c>
      <c r="K54">
        <v>98931</v>
      </c>
      <c r="L54" s="1">
        <v>43481</v>
      </c>
    </row>
    <row r="55" spans="1:12" x14ac:dyDescent="0.5">
      <c r="A55">
        <v>1900002048</v>
      </c>
      <c r="B55" s="1">
        <v>43705</v>
      </c>
      <c r="C55" t="s">
        <v>24</v>
      </c>
      <c r="D55" t="s">
        <v>22</v>
      </c>
      <c r="E55" t="s">
        <v>65</v>
      </c>
      <c r="F55">
        <v>1</v>
      </c>
      <c r="G55" t="s">
        <v>21</v>
      </c>
      <c r="H55" t="s">
        <v>66</v>
      </c>
      <c r="I55" t="s">
        <v>130</v>
      </c>
      <c r="J55" t="s">
        <v>68</v>
      </c>
      <c r="K55">
        <v>21769</v>
      </c>
      <c r="L55" s="1">
        <v>43466</v>
      </c>
    </row>
    <row r="56" spans="1:12" x14ac:dyDescent="0.5">
      <c r="A56">
        <v>1900002049</v>
      </c>
      <c r="B56" s="1">
        <v>43705</v>
      </c>
      <c r="C56" t="s">
        <v>24</v>
      </c>
      <c r="D56" t="s">
        <v>22</v>
      </c>
      <c r="E56" t="s">
        <v>65</v>
      </c>
      <c r="F56">
        <v>4</v>
      </c>
      <c r="G56" t="s">
        <v>317</v>
      </c>
      <c r="H56" t="s">
        <v>23</v>
      </c>
      <c r="I56" t="s">
        <v>132</v>
      </c>
      <c r="J56" t="s">
        <v>241</v>
      </c>
      <c r="K56">
        <v>65369</v>
      </c>
      <c r="L56" s="1">
        <v>43572</v>
      </c>
    </row>
    <row r="57" spans="1:12" x14ac:dyDescent="0.5">
      <c r="A57">
        <v>1900002050</v>
      </c>
      <c r="B57" s="1">
        <v>43705</v>
      </c>
      <c r="C57" t="s">
        <v>24</v>
      </c>
      <c r="D57" t="s">
        <v>22</v>
      </c>
      <c r="E57" t="s">
        <v>65</v>
      </c>
      <c r="F57">
        <v>4</v>
      </c>
      <c r="G57" t="s">
        <v>317</v>
      </c>
      <c r="H57" t="s">
        <v>23</v>
      </c>
      <c r="I57" t="s">
        <v>135</v>
      </c>
      <c r="J57">
        <v>304003761</v>
      </c>
      <c r="K57">
        <v>5206</v>
      </c>
      <c r="L57" s="1">
        <v>43556</v>
      </c>
    </row>
    <row r="58" spans="1:12" x14ac:dyDescent="0.5">
      <c r="A58">
        <v>1900002051</v>
      </c>
      <c r="B58" s="1">
        <v>43705</v>
      </c>
      <c r="C58" t="s">
        <v>24</v>
      </c>
      <c r="D58" t="s">
        <v>22</v>
      </c>
      <c r="E58" t="s">
        <v>65</v>
      </c>
      <c r="F58">
        <v>4</v>
      </c>
      <c r="G58" t="s">
        <v>317</v>
      </c>
      <c r="H58" t="s">
        <v>23</v>
      </c>
      <c r="I58" t="s">
        <v>136</v>
      </c>
      <c r="J58" t="s">
        <v>382</v>
      </c>
      <c r="K58">
        <v>23750</v>
      </c>
      <c r="L58" s="1">
        <v>43533</v>
      </c>
    </row>
    <row r="59" spans="1:12" x14ac:dyDescent="0.5">
      <c r="A59">
        <v>1900002052</v>
      </c>
      <c r="B59" s="1">
        <v>43705</v>
      </c>
      <c r="C59" t="s">
        <v>24</v>
      </c>
      <c r="D59" t="s">
        <v>22</v>
      </c>
      <c r="E59" t="s">
        <v>65</v>
      </c>
      <c r="F59">
        <v>4</v>
      </c>
      <c r="G59" t="s">
        <v>317</v>
      </c>
      <c r="H59" t="s">
        <v>23</v>
      </c>
      <c r="I59" t="s">
        <v>139</v>
      </c>
      <c r="J59" t="s">
        <v>239</v>
      </c>
      <c r="K59">
        <v>1557</v>
      </c>
      <c r="L59" s="1">
        <v>43571</v>
      </c>
    </row>
    <row r="60" spans="1:12" x14ac:dyDescent="0.5">
      <c r="A60">
        <v>1900002072</v>
      </c>
      <c r="B60" s="1">
        <v>43705</v>
      </c>
      <c r="C60" t="s">
        <v>24</v>
      </c>
      <c r="D60" t="s">
        <v>22</v>
      </c>
      <c r="E60" t="s">
        <v>33</v>
      </c>
      <c r="F60">
        <v>13</v>
      </c>
      <c r="G60" t="s">
        <v>572</v>
      </c>
      <c r="H60" t="s">
        <v>66</v>
      </c>
      <c r="I60" t="s">
        <v>141</v>
      </c>
      <c r="J60" t="s">
        <v>453</v>
      </c>
      <c r="K60">
        <v>40960</v>
      </c>
      <c r="L60" s="1">
        <v>43575</v>
      </c>
    </row>
    <row r="61" spans="1:12" x14ac:dyDescent="0.5">
      <c r="A61">
        <v>1900002229</v>
      </c>
      <c r="B61" s="1">
        <v>43708</v>
      </c>
      <c r="C61" t="s">
        <v>24</v>
      </c>
      <c r="D61" t="s">
        <v>22</v>
      </c>
      <c r="E61" t="s">
        <v>33</v>
      </c>
      <c r="F61">
        <v>13</v>
      </c>
      <c r="G61" t="s">
        <v>572</v>
      </c>
      <c r="H61" t="s">
        <v>23</v>
      </c>
      <c r="I61" t="s">
        <v>143</v>
      </c>
      <c r="J61" t="s">
        <v>450</v>
      </c>
      <c r="K61">
        <v>12055</v>
      </c>
      <c r="L61" s="1">
        <v>43510</v>
      </c>
    </row>
    <row r="62" spans="1:12" x14ac:dyDescent="0.5">
      <c r="A62">
        <v>1900002230</v>
      </c>
      <c r="B62" s="1">
        <v>43708</v>
      </c>
      <c r="C62" t="s">
        <v>24</v>
      </c>
      <c r="D62" t="s">
        <v>22</v>
      </c>
      <c r="E62" t="s">
        <v>54</v>
      </c>
      <c r="F62">
        <v>13</v>
      </c>
      <c r="G62" t="s">
        <v>572</v>
      </c>
      <c r="H62" t="s">
        <v>23</v>
      </c>
      <c r="I62" t="s">
        <v>145</v>
      </c>
      <c r="J62" t="s">
        <v>429</v>
      </c>
      <c r="K62">
        <v>131090</v>
      </c>
      <c r="L62" s="1">
        <v>43522</v>
      </c>
    </row>
    <row r="63" spans="1:12" x14ac:dyDescent="0.5">
      <c r="A63">
        <v>1900002232</v>
      </c>
      <c r="B63" s="1">
        <v>43708</v>
      </c>
      <c r="C63" t="s">
        <v>24</v>
      </c>
      <c r="D63" t="s">
        <v>22</v>
      </c>
      <c r="E63" t="s">
        <v>33</v>
      </c>
      <c r="F63">
        <v>13</v>
      </c>
      <c r="G63" t="s">
        <v>572</v>
      </c>
      <c r="H63" t="s">
        <v>23</v>
      </c>
      <c r="I63" t="s">
        <v>147</v>
      </c>
      <c r="J63" t="s">
        <v>451</v>
      </c>
      <c r="K63">
        <v>27069</v>
      </c>
      <c r="L63" s="1">
        <v>43510</v>
      </c>
    </row>
    <row r="64" spans="1:12" x14ac:dyDescent="0.5">
      <c r="A64">
        <v>1900002265</v>
      </c>
      <c r="B64" s="1">
        <v>43708</v>
      </c>
      <c r="C64" t="s">
        <v>24</v>
      </c>
      <c r="D64" t="s">
        <v>22</v>
      </c>
      <c r="E64" t="s">
        <v>65</v>
      </c>
      <c r="F64">
        <v>4</v>
      </c>
      <c r="G64" t="s">
        <v>317</v>
      </c>
      <c r="H64" t="s">
        <v>23</v>
      </c>
      <c r="I64" t="s">
        <v>149</v>
      </c>
      <c r="J64" t="s">
        <v>332</v>
      </c>
      <c r="K64">
        <v>215165</v>
      </c>
      <c r="L64" s="1">
        <v>43556</v>
      </c>
    </row>
    <row r="65" spans="1:12" x14ac:dyDescent="0.5">
      <c r="A65">
        <v>1900002331</v>
      </c>
      <c r="B65" s="1">
        <v>43711</v>
      </c>
      <c r="C65" t="s">
        <v>24</v>
      </c>
      <c r="D65" t="s">
        <v>22</v>
      </c>
      <c r="E65" t="s">
        <v>65</v>
      </c>
      <c r="F65">
        <v>4</v>
      </c>
      <c r="G65" t="s">
        <v>317</v>
      </c>
      <c r="H65" t="s">
        <v>23</v>
      </c>
      <c r="I65" t="s">
        <v>151</v>
      </c>
      <c r="J65" t="s">
        <v>411</v>
      </c>
      <c r="K65">
        <v>870</v>
      </c>
      <c r="L65" s="1">
        <v>43611</v>
      </c>
    </row>
    <row r="66" spans="1:12" x14ac:dyDescent="0.5">
      <c r="A66">
        <v>1900002384</v>
      </c>
      <c r="B66" s="1">
        <v>43713</v>
      </c>
      <c r="C66" t="s">
        <v>24</v>
      </c>
      <c r="D66" t="s">
        <v>22</v>
      </c>
      <c r="E66" t="s">
        <v>144</v>
      </c>
      <c r="F66">
        <v>1</v>
      </c>
      <c r="G66" t="s">
        <v>21</v>
      </c>
      <c r="H66" t="s">
        <v>28</v>
      </c>
      <c r="I66" t="s">
        <v>153</v>
      </c>
      <c r="J66">
        <v>2000010048</v>
      </c>
      <c r="K66">
        <v>8174</v>
      </c>
      <c r="L66" s="1">
        <v>43664</v>
      </c>
    </row>
    <row r="67" spans="1:12" x14ac:dyDescent="0.5">
      <c r="A67">
        <v>1900002387</v>
      </c>
      <c r="B67" s="1">
        <v>43713</v>
      </c>
      <c r="C67" t="s">
        <v>24</v>
      </c>
      <c r="D67" t="s">
        <v>22</v>
      </c>
      <c r="E67" t="s">
        <v>42</v>
      </c>
      <c r="F67">
        <v>6</v>
      </c>
      <c r="G67" t="s">
        <v>104</v>
      </c>
      <c r="H67" t="s">
        <v>23</v>
      </c>
      <c r="I67" t="s">
        <v>155</v>
      </c>
      <c r="J67" t="s">
        <v>521</v>
      </c>
      <c r="K67">
        <v>22246</v>
      </c>
      <c r="L67" s="1">
        <v>43660</v>
      </c>
    </row>
    <row r="68" spans="1:12" x14ac:dyDescent="0.5">
      <c r="A68">
        <v>1900002458</v>
      </c>
      <c r="B68" s="1">
        <v>43717</v>
      </c>
      <c r="C68" t="s">
        <v>24</v>
      </c>
      <c r="D68" t="s">
        <v>22</v>
      </c>
      <c r="E68" t="s">
        <v>37</v>
      </c>
      <c r="F68">
        <v>5</v>
      </c>
      <c r="G68" t="s">
        <v>134</v>
      </c>
      <c r="H68" t="s">
        <v>28</v>
      </c>
      <c r="I68" t="s">
        <v>157</v>
      </c>
      <c r="J68">
        <v>43187020</v>
      </c>
      <c r="K68">
        <v>7451</v>
      </c>
      <c r="L68" s="1">
        <v>43577</v>
      </c>
    </row>
    <row r="69" spans="1:12" x14ac:dyDescent="0.5">
      <c r="A69">
        <v>1900002464</v>
      </c>
      <c r="B69" s="1">
        <v>43717</v>
      </c>
      <c r="C69" t="s">
        <v>24</v>
      </c>
      <c r="D69" t="s">
        <v>22</v>
      </c>
      <c r="E69" t="s">
        <v>42</v>
      </c>
      <c r="F69">
        <v>6</v>
      </c>
      <c r="G69" t="s">
        <v>104</v>
      </c>
      <c r="H69" t="s">
        <v>66</v>
      </c>
      <c r="I69" t="s">
        <v>159</v>
      </c>
      <c r="J69" t="s">
        <v>556</v>
      </c>
      <c r="K69">
        <v>7110</v>
      </c>
      <c r="L69" s="1">
        <v>43675</v>
      </c>
    </row>
    <row r="70" spans="1:12" x14ac:dyDescent="0.5">
      <c r="A70">
        <v>1900002472</v>
      </c>
      <c r="B70" s="1">
        <v>43717</v>
      </c>
      <c r="C70" t="s">
        <v>24</v>
      </c>
      <c r="D70" t="s">
        <v>22</v>
      </c>
      <c r="E70" t="s">
        <v>65</v>
      </c>
      <c r="F70">
        <v>4</v>
      </c>
      <c r="G70" t="s">
        <v>317</v>
      </c>
      <c r="H70" t="s">
        <v>23</v>
      </c>
      <c r="I70" t="s">
        <v>161</v>
      </c>
      <c r="J70" t="s">
        <v>406</v>
      </c>
      <c r="K70">
        <v>692</v>
      </c>
      <c r="L70" s="1">
        <v>43600</v>
      </c>
    </row>
    <row r="71" spans="1:12" x14ac:dyDescent="0.5">
      <c r="A71">
        <v>1900002635</v>
      </c>
      <c r="B71" s="1">
        <v>43725</v>
      </c>
      <c r="C71" t="s">
        <v>24</v>
      </c>
      <c r="D71" t="s">
        <v>22</v>
      </c>
      <c r="E71" t="s">
        <v>144</v>
      </c>
      <c r="F71">
        <v>1</v>
      </c>
      <c r="G71" t="s">
        <v>21</v>
      </c>
      <c r="H71" t="s">
        <v>23</v>
      </c>
      <c r="I71" t="s">
        <v>163</v>
      </c>
      <c r="J71" t="s">
        <v>413</v>
      </c>
      <c r="K71">
        <v>65051</v>
      </c>
      <c r="L71" s="1">
        <v>43466</v>
      </c>
    </row>
    <row r="72" spans="1:12" x14ac:dyDescent="0.5">
      <c r="A72">
        <v>1900002636</v>
      </c>
      <c r="B72" s="1">
        <v>43725</v>
      </c>
      <c r="C72" t="s">
        <v>24</v>
      </c>
      <c r="D72" t="s">
        <v>22</v>
      </c>
      <c r="E72" t="s">
        <v>65</v>
      </c>
      <c r="F72">
        <v>4</v>
      </c>
      <c r="G72" t="s">
        <v>317</v>
      </c>
      <c r="H72" t="s">
        <v>23</v>
      </c>
      <c r="I72" t="s">
        <v>165</v>
      </c>
      <c r="J72" t="s">
        <v>326</v>
      </c>
      <c r="K72">
        <v>1005</v>
      </c>
      <c r="L72" s="1">
        <v>43586</v>
      </c>
    </row>
    <row r="73" spans="1:12" x14ac:dyDescent="0.5">
      <c r="A73">
        <v>1900002637</v>
      </c>
      <c r="B73" s="1">
        <v>43725</v>
      </c>
      <c r="C73" t="s">
        <v>24</v>
      </c>
      <c r="D73" t="s">
        <v>22</v>
      </c>
      <c r="E73" t="s">
        <v>42</v>
      </c>
      <c r="F73">
        <v>6</v>
      </c>
      <c r="G73" t="s">
        <v>104</v>
      </c>
      <c r="H73" t="s">
        <v>66</v>
      </c>
      <c r="I73" t="s">
        <v>167</v>
      </c>
      <c r="J73" t="s">
        <v>556</v>
      </c>
      <c r="K73">
        <v>6259</v>
      </c>
      <c r="L73" s="1">
        <v>43637</v>
      </c>
    </row>
    <row r="74" spans="1:12" x14ac:dyDescent="0.5">
      <c r="A74">
        <v>1900002638</v>
      </c>
      <c r="B74" s="1">
        <v>43725</v>
      </c>
      <c r="C74" t="s">
        <v>24</v>
      </c>
      <c r="D74" t="s">
        <v>22</v>
      </c>
      <c r="E74" t="s">
        <v>42</v>
      </c>
      <c r="F74">
        <v>6</v>
      </c>
      <c r="G74" t="s">
        <v>104</v>
      </c>
      <c r="H74" t="s">
        <v>66</v>
      </c>
      <c r="I74" t="s">
        <v>169</v>
      </c>
      <c r="J74" t="s">
        <v>503</v>
      </c>
      <c r="K74">
        <v>9941</v>
      </c>
      <c r="L74" s="1">
        <v>43656</v>
      </c>
    </row>
    <row r="75" spans="1:12" x14ac:dyDescent="0.5">
      <c r="A75">
        <v>1900002639</v>
      </c>
      <c r="B75" s="1">
        <v>43725</v>
      </c>
      <c r="C75" t="s">
        <v>24</v>
      </c>
      <c r="D75" t="s">
        <v>22</v>
      </c>
      <c r="E75" t="s">
        <v>65</v>
      </c>
      <c r="F75">
        <v>1</v>
      </c>
      <c r="G75" t="s">
        <v>21</v>
      </c>
      <c r="H75" t="s">
        <v>66</v>
      </c>
      <c r="I75" t="s">
        <v>171</v>
      </c>
      <c r="J75" t="s">
        <v>324</v>
      </c>
      <c r="K75">
        <v>9990</v>
      </c>
      <c r="L75" s="1">
        <v>43608</v>
      </c>
    </row>
    <row r="76" spans="1:12" x14ac:dyDescent="0.5">
      <c r="A76">
        <v>1900002640</v>
      </c>
      <c r="B76" s="1">
        <v>43725</v>
      </c>
      <c r="C76" t="s">
        <v>24</v>
      </c>
      <c r="D76" t="s">
        <v>22</v>
      </c>
      <c r="E76" t="s">
        <v>42</v>
      </c>
      <c r="F76">
        <v>6</v>
      </c>
      <c r="G76" t="s">
        <v>104</v>
      </c>
      <c r="H76" t="s">
        <v>23</v>
      </c>
      <c r="I76" t="s">
        <v>173</v>
      </c>
      <c r="J76" t="s">
        <v>121</v>
      </c>
      <c r="K76">
        <v>74673</v>
      </c>
      <c r="L76" s="1">
        <v>43645</v>
      </c>
    </row>
    <row r="77" spans="1:12" x14ac:dyDescent="0.5">
      <c r="A77">
        <v>1900002880</v>
      </c>
      <c r="B77" s="1">
        <v>43728</v>
      </c>
      <c r="C77" t="s">
        <v>24</v>
      </c>
      <c r="D77" t="s">
        <v>22</v>
      </c>
      <c r="E77" t="s">
        <v>65</v>
      </c>
      <c r="F77">
        <v>4</v>
      </c>
      <c r="G77" t="s">
        <v>317</v>
      </c>
      <c r="H77" t="s">
        <v>23</v>
      </c>
      <c r="I77" t="s">
        <v>175</v>
      </c>
      <c r="J77" t="s">
        <v>240</v>
      </c>
      <c r="K77">
        <v>4362</v>
      </c>
      <c r="L77" s="1">
        <v>43557</v>
      </c>
    </row>
    <row r="78" spans="1:12" x14ac:dyDescent="0.5">
      <c r="A78">
        <v>1900003129</v>
      </c>
      <c r="B78" s="1">
        <v>43738</v>
      </c>
      <c r="C78" t="s">
        <v>24</v>
      </c>
      <c r="D78" t="s">
        <v>22</v>
      </c>
      <c r="E78" t="s">
        <v>54</v>
      </c>
      <c r="F78">
        <v>13</v>
      </c>
      <c r="G78" t="s">
        <v>572</v>
      </c>
      <c r="H78" t="s">
        <v>23</v>
      </c>
      <c r="I78" t="s">
        <v>177</v>
      </c>
      <c r="J78" t="s">
        <v>428</v>
      </c>
      <c r="K78">
        <v>1610</v>
      </c>
      <c r="L78" s="1">
        <v>43510</v>
      </c>
    </row>
    <row r="79" spans="1:12" x14ac:dyDescent="0.5">
      <c r="A79">
        <v>1900003131</v>
      </c>
      <c r="B79" s="1">
        <v>43738</v>
      </c>
      <c r="C79" t="s">
        <v>24</v>
      </c>
      <c r="D79" t="s">
        <v>22</v>
      </c>
      <c r="E79" t="s">
        <v>65</v>
      </c>
      <c r="F79">
        <v>4</v>
      </c>
      <c r="G79" t="s">
        <v>317</v>
      </c>
      <c r="H79" t="s">
        <v>23</v>
      </c>
      <c r="I79" t="s">
        <v>178</v>
      </c>
      <c r="J79">
        <v>3.1142011248201999E+18</v>
      </c>
      <c r="K79">
        <v>20166</v>
      </c>
      <c r="L79" s="1">
        <v>43647</v>
      </c>
    </row>
    <row r="80" spans="1:12" x14ac:dyDescent="0.5">
      <c r="A80">
        <v>1900003209</v>
      </c>
      <c r="B80" s="1">
        <v>43748</v>
      </c>
      <c r="C80" t="s">
        <v>24</v>
      </c>
      <c r="D80" t="s">
        <v>22</v>
      </c>
      <c r="E80" t="s">
        <v>42</v>
      </c>
      <c r="F80">
        <v>6</v>
      </c>
      <c r="G80" t="s">
        <v>104</v>
      </c>
      <c r="H80" t="s">
        <v>23</v>
      </c>
      <c r="I80" t="s">
        <v>179</v>
      </c>
      <c r="J80" t="s">
        <v>116</v>
      </c>
      <c r="K80">
        <v>8605</v>
      </c>
      <c r="L80" s="1">
        <v>43645</v>
      </c>
    </row>
    <row r="81" spans="1:12" x14ac:dyDescent="0.5">
      <c r="A81">
        <v>1900003210</v>
      </c>
      <c r="B81" s="1">
        <v>43748</v>
      </c>
      <c r="C81" t="s">
        <v>24</v>
      </c>
      <c r="D81" t="s">
        <v>22</v>
      </c>
      <c r="E81" t="s">
        <v>42</v>
      </c>
      <c r="F81">
        <v>6</v>
      </c>
      <c r="G81" t="s">
        <v>104</v>
      </c>
      <c r="H81" t="s">
        <v>23</v>
      </c>
      <c r="I81" t="s">
        <v>180</v>
      </c>
      <c r="J81" t="s">
        <v>216</v>
      </c>
      <c r="K81">
        <v>52500</v>
      </c>
      <c r="L81" s="1">
        <v>43602</v>
      </c>
    </row>
    <row r="82" spans="1:12" x14ac:dyDescent="0.5">
      <c r="A82">
        <v>1900003211</v>
      </c>
      <c r="B82" s="1">
        <v>43748</v>
      </c>
      <c r="C82" t="s">
        <v>24</v>
      </c>
      <c r="D82" t="s">
        <v>22</v>
      </c>
      <c r="E82" t="s">
        <v>37</v>
      </c>
      <c r="F82">
        <v>13</v>
      </c>
      <c r="G82" t="s">
        <v>572</v>
      </c>
      <c r="H82" t="s">
        <v>66</v>
      </c>
      <c r="I82" t="s">
        <v>181</v>
      </c>
      <c r="J82" t="s">
        <v>436</v>
      </c>
      <c r="K82">
        <v>21875</v>
      </c>
      <c r="L82" s="1">
        <v>43497</v>
      </c>
    </row>
    <row r="83" spans="1:12" x14ac:dyDescent="0.5">
      <c r="A83">
        <v>1900003212</v>
      </c>
      <c r="B83" s="1">
        <v>43748</v>
      </c>
      <c r="C83" t="s">
        <v>24</v>
      </c>
      <c r="D83" t="s">
        <v>22</v>
      </c>
      <c r="E83" t="s">
        <v>42</v>
      </c>
      <c r="F83">
        <v>6</v>
      </c>
      <c r="G83" t="s">
        <v>104</v>
      </c>
      <c r="H83" t="s">
        <v>66</v>
      </c>
      <c r="I83" t="s">
        <v>183</v>
      </c>
      <c r="J83" t="s">
        <v>503</v>
      </c>
      <c r="K83">
        <v>93906</v>
      </c>
      <c r="L83" s="1">
        <v>43531</v>
      </c>
    </row>
    <row r="84" spans="1:12" x14ac:dyDescent="0.5">
      <c r="A84">
        <v>1900003213</v>
      </c>
      <c r="B84" s="1">
        <v>43748</v>
      </c>
      <c r="C84" t="s">
        <v>24</v>
      </c>
      <c r="D84" t="s">
        <v>22</v>
      </c>
      <c r="E84" t="s">
        <v>42</v>
      </c>
      <c r="F84">
        <v>6</v>
      </c>
      <c r="G84" t="s">
        <v>104</v>
      </c>
      <c r="H84" t="s">
        <v>23</v>
      </c>
      <c r="I84" t="s">
        <v>184</v>
      </c>
      <c r="J84">
        <v>54407334</v>
      </c>
      <c r="K84">
        <v>23387</v>
      </c>
      <c r="L84" s="1">
        <v>43466</v>
      </c>
    </row>
    <row r="85" spans="1:12" x14ac:dyDescent="0.5">
      <c r="A85">
        <v>1900003214</v>
      </c>
      <c r="B85" s="1">
        <v>43748</v>
      </c>
      <c r="C85" t="s">
        <v>24</v>
      </c>
      <c r="D85" t="s">
        <v>22</v>
      </c>
      <c r="E85" t="s">
        <v>42</v>
      </c>
      <c r="F85">
        <v>6</v>
      </c>
      <c r="G85" t="s">
        <v>104</v>
      </c>
      <c r="H85" t="s">
        <v>23</v>
      </c>
      <c r="I85" t="s">
        <v>185</v>
      </c>
      <c r="J85" t="s">
        <v>522</v>
      </c>
      <c r="K85">
        <v>3347</v>
      </c>
      <c r="L85" s="1">
        <v>43556</v>
      </c>
    </row>
    <row r="86" spans="1:12" x14ac:dyDescent="0.5">
      <c r="A86">
        <v>1900003404</v>
      </c>
      <c r="B86" s="1">
        <v>43755</v>
      </c>
      <c r="C86" t="s">
        <v>24</v>
      </c>
      <c r="D86" t="s">
        <v>22</v>
      </c>
      <c r="E86" t="s">
        <v>37</v>
      </c>
      <c r="F86">
        <v>2</v>
      </c>
      <c r="G86" t="s">
        <v>27</v>
      </c>
      <c r="H86" t="s">
        <v>66</v>
      </c>
      <c r="I86" t="s">
        <v>186</v>
      </c>
      <c r="J86">
        <v>2.9992028733097999E+18</v>
      </c>
      <c r="K86">
        <v>60025</v>
      </c>
      <c r="L86" s="1">
        <v>43654</v>
      </c>
    </row>
    <row r="87" spans="1:12" x14ac:dyDescent="0.5">
      <c r="A87">
        <v>1900003405</v>
      </c>
      <c r="B87" s="1">
        <v>43755</v>
      </c>
      <c r="C87" t="s">
        <v>24</v>
      </c>
      <c r="D87" t="s">
        <v>22</v>
      </c>
      <c r="E87" t="s">
        <v>20</v>
      </c>
      <c r="F87">
        <v>13</v>
      </c>
      <c r="G87" t="s">
        <v>572</v>
      </c>
      <c r="H87" t="s">
        <v>23</v>
      </c>
      <c r="I87" t="s">
        <v>188</v>
      </c>
      <c r="J87" t="s">
        <v>213</v>
      </c>
      <c r="K87">
        <v>13613</v>
      </c>
      <c r="L87" s="1">
        <v>43472</v>
      </c>
    </row>
    <row r="88" spans="1:12" x14ac:dyDescent="0.5">
      <c r="A88">
        <v>1900003406</v>
      </c>
      <c r="B88" s="1">
        <v>43755</v>
      </c>
      <c r="C88" t="s">
        <v>24</v>
      </c>
      <c r="D88" t="s">
        <v>22</v>
      </c>
      <c r="E88" t="s">
        <v>42</v>
      </c>
      <c r="F88">
        <v>5</v>
      </c>
      <c r="G88" t="s">
        <v>134</v>
      </c>
      <c r="H88" t="s">
        <v>28</v>
      </c>
      <c r="I88" t="s">
        <v>190</v>
      </c>
      <c r="J88" t="s">
        <v>44</v>
      </c>
      <c r="K88">
        <v>79834</v>
      </c>
      <c r="L88" s="1">
        <v>43641</v>
      </c>
    </row>
    <row r="89" spans="1:12" x14ac:dyDescent="0.5">
      <c r="A89">
        <v>1900003407</v>
      </c>
      <c r="B89" s="1">
        <v>43755</v>
      </c>
      <c r="C89" t="s">
        <v>24</v>
      </c>
      <c r="D89" t="s">
        <v>22</v>
      </c>
      <c r="E89" t="s">
        <v>37</v>
      </c>
      <c r="F89">
        <v>2</v>
      </c>
      <c r="G89" t="s">
        <v>27</v>
      </c>
      <c r="H89" t="s">
        <v>66</v>
      </c>
      <c r="I89" t="s">
        <v>192</v>
      </c>
      <c r="J89">
        <v>2.9992028732742001E+18</v>
      </c>
      <c r="K89">
        <v>60025</v>
      </c>
      <c r="L89" s="1">
        <v>43654</v>
      </c>
    </row>
    <row r="90" spans="1:12" x14ac:dyDescent="0.5">
      <c r="A90">
        <v>1900003928</v>
      </c>
      <c r="B90" s="1">
        <v>43781</v>
      </c>
      <c r="C90" t="s">
        <v>24</v>
      </c>
      <c r="D90" t="s">
        <v>22</v>
      </c>
      <c r="E90" t="s">
        <v>37</v>
      </c>
      <c r="F90">
        <v>10</v>
      </c>
      <c r="G90" t="s">
        <v>41</v>
      </c>
      <c r="H90" t="s">
        <v>66</v>
      </c>
      <c r="I90" t="s">
        <v>193</v>
      </c>
      <c r="J90">
        <v>14055133</v>
      </c>
      <c r="K90">
        <v>63000</v>
      </c>
      <c r="L90" s="1">
        <v>43672</v>
      </c>
    </row>
    <row r="91" spans="1:12" x14ac:dyDescent="0.5">
      <c r="A91">
        <v>1900003930</v>
      </c>
      <c r="B91" s="1">
        <v>43781</v>
      </c>
      <c r="C91" t="s">
        <v>560</v>
      </c>
      <c r="D91" t="s">
        <v>22</v>
      </c>
      <c r="E91" t="s">
        <v>33</v>
      </c>
      <c r="F91">
        <v>2</v>
      </c>
      <c r="G91" t="s">
        <v>27</v>
      </c>
      <c r="H91" t="s">
        <v>66</v>
      </c>
      <c r="I91" t="s">
        <v>194</v>
      </c>
      <c r="K91">
        <v>100000</v>
      </c>
      <c r="L91" s="1">
        <v>43663</v>
      </c>
    </row>
    <row r="92" spans="1:12" x14ac:dyDescent="0.5">
      <c r="A92">
        <v>1900003931</v>
      </c>
      <c r="B92" s="1">
        <v>43781</v>
      </c>
      <c r="C92" t="s">
        <v>560</v>
      </c>
      <c r="D92" t="s">
        <v>22</v>
      </c>
      <c r="E92" t="s">
        <v>33</v>
      </c>
      <c r="F92">
        <v>2</v>
      </c>
      <c r="G92" t="s">
        <v>27</v>
      </c>
      <c r="H92" t="s">
        <v>66</v>
      </c>
      <c r="I92" t="s">
        <v>195</v>
      </c>
      <c r="K92">
        <v>100000</v>
      </c>
      <c r="L92" s="1">
        <v>43486</v>
      </c>
    </row>
    <row r="93" spans="1:12" x14ac:dyDescent="0.5">
      <c r="A93">
        <v>1900004171</v>
      </c>
      <c r="B93" s="1">
        <v>43795</v>
      </c>
      <c r="C93" t="s">
        <v>560</v>
      </c>
      <c r="D93" t="s">
        <v>22</v>
      </c>
      <c r="E93" t="s">
        <v>65</v>
      </c>
      <c r="F93">
        <v>4</v>
      </c>
      <c r="G93" t="s">
        <v>317</v>
      </c>
      <c r="H93" t="s">
        <v>23</v>
      </c>
      <c r="I93" t="s">
        <v>196</v>
      </c>
      <c r="K93">
        <v>254336</v>
      </c>
      <c r="L93" s="1">
        <v>43490</v>
      </c>
    </row>
    <row r="94" spans="1:12" x14ac:dyDescent="0.5">
      <c r="A94">
        <v>1900004173</v>
      </c>
      <c r="B94" s="1">
        <v>43795</v>
      </c>
      <c r="C94" t="s">
        <v>560</v>
      </c>
      <c r="D94" t="s">
        <v>22</v>
      </c>
      <c r="E94" t="s">
        <v>65</v>
      </c>
      <c r="F94">
        <v>4</v>
      </c>
      <c r="G94" t="s">
        <v>317</v>
      </c>
      <c r="H94" t="s">
        <v>23</v>
      </c>
      <c r="I94" t="s">
        <v>198</v>
      </c>
      <c r="K94">
        <v>266949</v>
      </c>
      <c r="L94" s="1">
        <v>43490</v>
      </c>
    </row>
    <row r="95" spans="1:12" x14ac:dyDescent="0.5">
      <c r="A95">
        <v>1900004220</v>
      </c>
      <c r="B95" s="1">
        <v>43802</v>
      </c>
      <c r="C95" t="s">
        <v>24</v>
      </c>
      <c r="D95" t="s">
        <v>22</v>
      </c>
      <c r="E95" t="s">
        <v>42</v>
      </c>
      <c r="F95">
        <v>6</v>
      </c>
      <c r="G95" t="s">
        <v>104</v>
      </c>
      <c r="H95" t="s">
        <v>23</v>
      </c>
      <c r="I95" t="s">
        <v>200</v>
      </c>
      <c r="J95">
        <v>54445288</v>
      </c>
      <c r="K95">
        <v>11111</v>
      </c>
      <c r="L95" s="1">
        <v>43524</v>
      </c>
    </row>
    <row r="96" spans="1:12" x14ac:dyDescent="0.5">
      <c r="A96">
        <v>1900004221</v>
      </c>
      <c r="B96" s="1">
        <v>43802</v>
      </c>
      <c r="C96" t="s">
        <v>24</v>
      </c>
      <c r="D96" t="s">
        <v>22</v>
      </c>
      <c r="E96" t="s">
        <v>33</v>
      </c>
      <c r="F96">
        <v>3</v>
      </c>
      <c r="G96" t="s">
        <v>64</v>
      </c>
      <c r="H96" t="s">
        <v>66</v>
      </c>
      <c r="I96" t="s">
        <v>203</v>
      </c>
      <c r="J96">
        <v>9.9000044190299996E+19</v>
      </c>
      <c r="K96">
        <v>3008</v>
      </c>
      <c r="L96" s="1">
        <v>43567</v>
      </c>
    </row>
    <row r="97" spans="1:12" x14ac:dyDescent="0.5">
      <c r="A97">
        <v>1900004376</v>
      </c>
      <c r="B97" s="1">
        <v>43804</v>
      </c>
      <c r="C97" t="s">
        <v>24</v>
      </c>
      <c r="D97" t="s">
        <v>22</v>
      </c>
      <c r="E97" t="s">
        <v>37</v>
      </c>
      <c r="F97">
        <v>3</v>
      </c>
      <c r="G97" t="s">
        <v>64</v>
      </c>
      <c r="H97" t="s">
        <v>66</v>
      </c>
      <c r="I97" t="s">
        <v>204</v>
      </c>
      <c r="J97">
        <v>43193940</v>
      </c>
      <c r="K97">
        <v>6184</v>
      </c>
      <c r="L97" s="1">
        <v>43684</v>
      </c>
    </row>
    <row r="98" spans="1:12" x14ac:dyDescent="0.5">
      <c r="A98">
        <v>1900004378</v>
      </c>
      <c r="B98" s="1">
        <v>43804</v>
      </c>
      <c r="C98" t="s">
        <v>24</v>
      </c>
      <c r="D98" t="s">
        <v>22</v>
      </c>
      <c r="E98" t="s">
        <v>54</v>
      </c>
      <c r="F98">
        <v>5</v>
      </c>
      <c r="G98" t="s">
        <v>134</v>
      </c>
      <c r="H98" t="s">
        <v>28</v>
      </c>
      <c r="I98" t="s">
        <v>205</v>
      </c>
      <c r="J98" t="s">
        <v>300</v>
      </c>
      <c r="K98">
        <v>1568</v>
      </c>
      <c r="L98" s="1">
        <v>43504</v>
      </c>
    </row>
    <row r="99" spans="1:12" x14ac:dyDescent="0.5">
      <c r="A99">
        <v>1900004380</v>
      </c>
      <c r="B99" s="1">
        <v>43804</v>
      </c>
      <c r="C99" t="s">
        <v>24</v>
      </c>
      <c r="D99" t="s">
        <v>22</v>
      </c>
      <c r="E99" t="s">
        <v>42</v>
      </c>
      <c r="F99">
        <v>6</v>
      </c>
      <c r="G99" t="s">
        <v>104</v>
      </c>
      <c r="H99" t="s">
        <v>66</v>
      </c>
      <c r="I99" t="s">
        <v>206</v>
      </c>
      <c r="J99" t="s">
        <v>503</v>
      </c>
      <c r="K99">
        <v>18901</v>
      </c>
      <c r="L99" s="1">
        <v>43722</v>
      </c>
    </row>
    <row r="100" spans="1:12" x14ac:dyDescent="0.5">
      <c r="A100">
        <v>1900004382</v>
      </c>
      <c r="B100" s="1">
        <v>43804</v>
      </c>
      <c r="C100" t="s">
        <v>24</v>
      </c>
      <c r="D100" t="s">
        <v>22</v>
      </c>
      <c r="E100" t="s">
        <v>42</v>
      </c>
      <c r="F100">
        <v>6</v>
      </c>
      <c r="G100" t="s">
        <v>104</v>
      </c>
      <c r="H100" t="s">
        <v>28</v>
      </c>
      <c r="I100" t="s">
        <v>207</v>
      </c>
      <c r="J100" t="s">
        <v>503</v>
      </c>
      <c r="K100">
        <v>27682</v>
      </c>
      <c r="L100" s="1">
        <v>43691</v>
      </c>
    </row>
    <row r="101" spans="1:12" x14ac:dyDescent="0.5">
      <c r="A101">
        <v>1900004383</v>
      </c>
      <c r="B101" s="1">
        <v>43804</v>
      </c>
      <c r="C101" t="s">
        <v>24</v>
      </c>
      <c r="D101" t="s">
        <v>22</v>
      </c>
      <c r="E101" t="s">
        <v>42</v>
      </c>
      <c r="F101">
        <v>6</v>
      </c>
      <c r="G101" t="s">
        <v>104</v>
      </c>
      <c r="H101" t="s">
        <v>66</v>
      </c>
      <c r="I101" t="s">
        <v>208</v>
      </c>
      <c r="J101" t="s">
        <v>556</v>
      </c>
      <c r="K101">
        <v>5501</v>
      </c>
      <c r="L101" s="1">
        <v>43759</v>
      </c>
    </row>
    <row r="102" spans="1:12" x14ac:dyDescent="0.5">
      <c r="A102">
        <v>1900004384</v>
      </c>
      <c r="B102" s="1">
        <v>43804</v>
      </c>
      <c r="C102" t="s">
        <v>24</v>
      </c>
      <c r="D102" t="s">
        <v>22</v>
      </c>
      <c r="E102" t="s">
        <v>42</v>
      </c>
      <c r="F102">
        <v>6</v>
      </c>
      <c r="G102" t="s">
        <v>104</v>
      </c>
      <c r="H102" t="s">
        <v>23</v>
      </c>
      <c r="I102" t="s">
        <v>579</v>
      </c>
      <c r="J102" t="s">
        <v>409</v>
      </c>
      <c r="K102">
        <v>123750</v>
      </c>
      <c r="L102" s="1">
        <v>43738</v>
      </c>
    </row>
    <row r="103" spans="1:12" x14ac:dyDescent="0.5">
      <c r="A103">
        <v>1900004404</v>
      </c>
      <c r="B103" s="1">
        <v>43805</v>
      </c>
      <c r="C103" t="s">
        <v>24</v>
      </c>
      <c r="D103" t="s">
        <v>22</v>
      </c>
      <c r="E103" t="s">
        <v>65</v>
      </c>
      <c r="F103">
        <v>4</v>
      </c>
      <c r="G103" t="s">
        <v>317</v>
      </c>
      <c r="H103" t="s">
        <v>23</v>
      </c>
      <c r="I103" t="s">
        <v>580</v>
      </c>
      <c r="J103" t="s">
        <v>227</v>
      </c>
      <c r="K103">
        <v>825</v>
      </c>
      <c r="L103" s="1">
        <v>43647</v>
      </c>
    </row>
    <row r="104" spans="1:12" x14ac:dyDescent="0.5">
      <c r="A104">
        <v>1900004408</v>
      </c>
      <c r="B104" s="1">
        <v>43805</v>
      </c>
      <c r="C104" t="s">
        <v>24</v>
      </c>
      <c r="D104" t="s">
        <v>22</v>
      </c>
      <c r="E104" t="s">
        <v>65</v>
      </c>
      <c r="F104">
        <v>4</v>
      </c>
      <c r="G104" t="s">
        <v>317</v>
      </c>
      <c r="H104" t="s">
        <v>23</v>
      </c>
      <c r="I104" t="s">
        <v>581</v>
      </c>
      <c r="J104" t="s">
        <v>236</v>
      </c>
      <c r="K104">
        <v>1556</v>
      </c>
      <c r="L104" s="1">
        <v>43647</v>
      </c>
    </row>
    <row r="105" spans="1:12" x14ac:dyDescent="0.5">
      <c r="A105">
        <v>1900004411</v>
      </c>
      <c r="B105" s="1">
        <v>43805</v>
      </c>
      <c r="C105" t="s">
        <v>24</v>
      </c>
      <c r="D105" t="s">
        <v>22</v>
      </c>
      <c r="E105" t="s">
        <v>65</v>
      </c>
      <c r="F105">
        <v>4</v>
      </c>
      <c r="G105" t="s">
        <v>317</v>
      </c>
      <c r="H105" t="s">
        <v>23</v>
      </c>
      <c r="I105" t="s">
        <v>582</v>
      </c>
      <c r="J105" t="s">
        <v>233</v>
      </c>
      <c r="K105">
        <v>12350</v>
      </c>
      <c r="L105" s="1">
        <v>43647</v>
      </c>
    </row>
    <row r="106" spans="1:12" x14ac:dyDescent="0.5">
      <c r="A106">
        <v>1900004474</v>
      </c>
      <c r="B106" s="1">
        <v>43808</v>
      </c>
      <c r="C106" t="s">
        <v>24</v>
      </c>
      <c r="D106" t="s">
        <v>22</v>
      </c>
      <c r="E106" t="s">
        <v>20</v>
      </c>
      <c r="F106">
        <v>3</v>
      </c>
      <c r="G106" t="s">
        <v>64</v>
      </c>
      <c r="H106" t="s">
        <v>66</v>
      </c>
      <c r="I106" t="s">
        <v>583</v>
      </c>
      <c r="J106" t="s">
        <v>383</v>
      </c>
      <c r="K106">
        <v>15593</v>
      </c>
      <c r="L106" s="1">
        <v>43477</v>
      </c>
    </row>
    <row r="107" spans="1:12" x14ac:dyDescent="0.5">
      <c r="A107">
        <v>1900004500</v>
      </c>
      <c r="B107" s="1">
        <v>43808</v>
      </c>
      <c r="C107" t="s">
        <v>24</v>
      </c>
      <c r="D107" t="s">
        <v>22</v>
      </c>
      <c r="E107" t="s">
        <v>33</v>
      </c>
      <c r="F107">
        <v>3</v>
      </c>
      <c r="G107" t="s">
        <v>64</v>
      </c>
      <c r="H107" t="s">
        <v>66</v>
      </c>
      <c r="I107" t="s">
        <v>584</v>
      </c>
      <c r="J107">
        <v>9.9000044190300006E+17</v>
      </c>
      <c r="K107">
        <v>2212</v>
      </c>
      <c r="L107" s="1">
        <v>43565</v>
      </c>
    </row>
    <row r="108" spans="1:12" x14ac:dyDescent="0.5">
      <c r="A108">
        <v>1900004501</v>
      </c>
      <c r="B108" s="1">
        <v>43808</v>
      </c>
      <c r="C108" t="s">
        <v>24</v>
      </c>
      <c r="D108" t="s">
        <v>22</v>
      </c>
      <c r="E108" t="s">
        <v>42</v>
      </c>
      <c r="F108">
        <v>3</v>
      </c>
      <c r="G108" t="s">
        <v>64</v>
      </c>
      <c r="H108" t="s">
        <v>66</v>
      </c>
      <c r="I108" t="s">
        <v>585</v>
      </c>
      <c r="J108">
        <v>54522170</v>
      </c>
      <c r="K108">
        <v>9056</v>
      </c>
      <c r="L108" s="1">
        <v>43655</v>
      </c>
    </row>
    <row r="109" spans="1:12" x14ac:dyDescent="0.5">
      <c r="A109">
        <v>1900004503</v>
      </c>
      <c r="B109" s="1">
        <v>43809</v>
      </c>
      <c r="C109" t="s">
        <v>24</v>
      </c>
      <c r="D109" t="s">
        <v>22</v>
      </c>
      <c r="E109" t="s">
        <v>65</v>
      </c>
      <c r="F109">
        <v>4</v>
      </c>
      <c r="G109" t="s">
        <v>317</v>
      </c>
      <c r="H109" t="s">
        <v>23</v>
      </c>
      <c r="I109" t="s">
        <v>586</v>
      </c>
      <c r="J109" t="s">
        <v>228</v>
      </c>
      <c r="K109">
        <v>1897</v>
      </c>
      <c r="L109" s="1">
        <v>43647</v>
      </c>
    </row>
    <row r="110" spans="1:12" x14ac:dyDescent="0.5">
      <c r="A110">
        <v>1900004505</v>
      </c>
      <c r="B110" s="1">
        <v>43809</v>
      </c>
      <c r="C110" t="s">
        <v>24</v>
      </c>
      <c r="D110" t="s">
        <v>22</v>
      </c>
      <c r="E110" t="s">
        <v>65</v>
      </c>
      <c r="F110">
        <v>4</v>
      </c>
      <c r="G110" t="s">
        <v>317</v>
      </c>
      <c r="H110" t="s">
        <v>23</v>
      </c>
      <c r="I110" t="s">
        <v>587</v>
      </c>
      <c r="J110" t="s">
        <v>230</v>
      </c>
      <c r="K110">
        <v>42500</v>
      </c>
      <c r="L110" s="1">
        <v>43647</v>
      </c>
    </row>
    <row r="111" spans="1:12" x14ac:dyDescent="0.5">
      <c r="A111">
        <v>1900004507</v>
      </c>
      <c r="B111" s="1">
        <v>43809</v>
      </c>
      <c r="C111" t="s">
        <v>24</v>
      </c>
      <c r="D111" t="s">
        <v>22</v>
      </c>
      <c r="E111" t="s">
        <v>65</v>
      </c>
      <c r="F111">
        <v>4</v>
      </c>
      <c r="G111" t="s">
        <v>317</v>
      </c>
      <c r="H111" t="s">
        <v>23</v>
      </c>
      <c r="I111" t="s">
        <v>588</v>
      </c>
      <c r="J111" t="s">
        <v>231</v>
      </c>
      <c r="K111">
        <v>10917</v>
      </c>
      <c r="L111" s="1">
        <v>43647</v>
      </c>
    </row>
    <row r="112" spans="1:12" x14ac:dyDescent="0.5">
      <c r="A112">
        <v>1900004518</v>
      </c>
      <c r="B112" s="1">
        <v>43809</v>
      </c>
      <c r="C112" t="s">
        <v>24</v>
      </c>
      <c r="D112" t="s">
        <v>22</v>
      </c>
      <c r="E112" t="s">
        <v>65</v>
      </c>
      <c r="F112">
        <v>4</v>
      </c>
      <c r="G112" t="s">
        <v>317</v>
      </c>
      <c r="H112" t="s">
        <v>23</v>
      </c>
      <c r="I112" t="s">
        <v>589</v>
      </c>
      <c r="J112" t="s">
        <v>234</v>
      </c>
      <c r="K112">
        <v>3375</v>
      </c>
      <c r="L112" s="1">
        <v>43647</v>
      </c>
    </row>
    <row r="113" spans="1:12" x14ac:dyDescent="0.5">
      <c r="A113">
        <v>1900004535</v>
      </c>
      <c r="B113" s="1">
        <v>43809</v>
      </c>
      <c r="C113" t="s">
        <v>560</v>
      </c>
      <c r="D113" t="s">
        <v>22</v>
      </c>
      <c r="E113" t="s">
        <v>65</v>
      </c>
      <c r="F113">
        <v>4</v>
      </c>
      <c r="G113" t="s">
        <v>317</v>
      </c>
      <c r="H113" t="s">
        <v>23</v>
      </c>
      <c r="I113" t="s">
        <v>590</v>
      </c>
      <c r="J113" t="s">
        <v>403</v>
      </c>
      <c r="K113">
        <v>320175</v>
      </c>
      <c r="L113" s="1">
        <v>43805</v>
      </c>
    </row>
    <row r="114" spans="1:12" x14ac:dyDescent="0.5">
      <c r="A114">
        <v>1900004535</v>
      </c>
      <c r="B114" s="1">
        <v>43809</v>
      </c>
      <c r="C114" t="s">
        <v>560</v>
      </c>
      <c r="D114" t="s">
        <v>22</v>
      </c>
      <c r="E114" t="s">
        <v>65</v>
      </c>
      <c r="F114">
        <v>4</v>
      </c>
      <c r="G114" t="s">
        <v>317</v>
      </c>
      <c r="H114" t="s">
        <v>23</v>
      </c>
      <c r="I114" t="s">
        <v>591</v>
      </c>
      <c r="J114">
        <v>3.1242015891005998E+18</v>
      </c>
      <c r="K114">
        <v>320175</v>
      </c>
      <c r="L114" s="1">
        <v>43805</v>
      </c>
    </row>
    <row r="115" spans="1:12" x14ac:dyDescent="0.5">
      <c r="A115">
        <v>1900004535</v>
      </c>
      <c r="B115" s="1">
        <v>43809</v>
      </c>
      <c r="C115" t="s">
        <v>560</v>
      </c>
      <c r="D115" t="s">
        <v>22</v>
      </c>
      <c r="E115" t="s">
        <v>65</v>
      </c>
      <c r="F115">
        <v>4</v>
      </c>
      <c r="G115" t="s">
        <v>317</v>
      </c>
      <c r="H115" t="s">
        <v>23</v>
      </c>
      <c r="I115" t="s">
        <v>592</v>
      </c>
      <c r="J115" t="s">
        <v>417</v>
      </c>
      <c r="K115">
        <v>320175</v>
      </c>
      <c r="L115" s="1">
        <v>43805</v>
      </c>
    </row>
    <row r="116" spans="1:12" x14ac:dyDescent="0.5">
      <c r="A116">
        <v>1900004538</v>
      </c>
      <c r="B116" s="1">
        <v>43809</v>
      </c>
      <c r="C116" t="s">
        <v>560</v>
      </c>
      <c r="D116" t="s">
        <v>22</v>
      </c>
      <c r="E116" t="s">
        <v>65</v>
      </c>
      <c r="F116">
        <v>4</v>
      </c>
      <c r="G116" t="s">
        <v>317</v>
      </c>
      <c r="H116" t="s">
        <v>23</v>
      </c>
      <c r="I116" t="s">
        <v>593</v>
      </c>
      <c r="J116" t="s">
        <v>524</v>
      </c>
      <c r="K116">
        <v>168593</v>
      </c>
      <c r="L116" s="1">
        <v>43613</v>
      </c>
    </row>
    <row r="117" spans="1:12" x14ac:dyDescent="0.5">
      <c r="A117">
        <v>1900004538</v>
      </c>
      <c r="B117" s="1">
        <v>43809</v>
      </c>
      <c r="C117" t="s">
        <v>560</v>
      </c>
      <c r="D117" t="s">
        <v>22</v>
      </c>
      <c r="E117" t="s">
        <v>65</v>
      </c>
      <c r="F117">
        <v>4</v>
      </c>
      <c r="G117" t="s">
        <v>317</v>
      </c>
      <c r="H117" t="s">
        <v>23</v>
      </c>
      <c r="I117" t="s">
        <v>594</v>
      </c>
      <c r="J117" t="s">
        <v>525</v>
      </c>
      <c r="K117">
        <v>168593</v>
      </c>
      <c r="L117" s="1">
        <v>43613</v>
      </c>
    </row>
    <row r="118" spans="1:12" x14ac:dyDescent="0.5">
      <c r="A118">
        <v>1900004894</v>
      </c>
      <c r="B118" s="1">
        <v>43818</v>
      </c>
      <c r="C118" t="s">
        <v>24</v>
      </c>
      <c r="D118" t="s">
        <v>22</v>
      </c>
      <c r="E118" t="s">
        <v>65</v>
      </c>
      <c r="F118">
        <v>4</v>
      </c>
      <c r="G118" t="s">
        <v>317</v>
      </c>
      <c r="H118" t="s">
        <v>23</v>
      </c>
      <c r="I118" t="s">
        <v>595</v>
      </c>
      <c r="J118">
        <v>43196279</v>
      </c>
      <c r="K118">
        <v>2970</v>
      </c>
      <c r="L118" s="1">
        <v>43730</v>
      </c>
    </row>
    <row r="119" spans="1:12" x14ac:dyDescent="0.5">
      <c r="A119">
        <v>1900004898</v>
      </c>
      <c r="B119" s="1">
        <v>43818</v>
      </c>
      <c r="C119" t="s">
        <v>24</v>
      </c>
      <c r="D119" t="s">
        <v>22</v>
      </c>
      <c r="E119" t="s">
        <v>65</v>
      </c>
      <c r="F119">
        <v>1</v>
      </c>
      <c r="G119" t="s">
        <v>21</v>
      </c>
      <c r="H119" t="s">
        <v>66</v>
      </c>
      <c r="I119" t="s">
        <v>596</v>
      </c>
      <c r="J119">
        <v>3.1142029633600998E+18</v>
      </c>
      <c r="K119">
        <v>7022</v>
      </c>
      <c r="L119" s="1">
        <v>43703</v>
      </c>
    </row>
    <row r="120" spans="1:12" x14ac:dyDescent="0.5">
      <c r="A120">
        <v>1900004909</v>
      </c>
      <c r="B120" s="1">
        <v>43818</v>
      </c>
      <c r="C120" t="s">
        <v>24</v>
      </c>
      <c r="D120" t="s">
        <v>22</v>
      </c>
      <c r="E120" t="s">
        <v>65</v>
      </c>
      <c r="F120">
        <v>4</v>
      </c>
      <c r="G120" t="s">
        <v>317</v>
      </c>
      <c r="H120" t="s">
        <v>23</v>
      </c>
      <c r="I120" t="s">
        <v>597</v>
      </c>
      <c r="J120" t="s">
        <v>237</v>
      </c>
      <c r="K120">
        <v>202350</v>
      </c>
      <c r="L120" s="1">
        <v>43738</v>
      </c>
    </row>
    <row r="121" spans="1:12" x14ac:dyDescent="0.5">
      <c r="A121">
        <v>1900004912</v>
      </c>
      <c r="B121" s="1">
        <v>43818</v>
      </c>
      <c r="C121" t="s">
        <v>24</v>
      </c>
      <c r="D121" t="s">
        <v>22</v>
      </c>
      <c r="E121" t="s">
        <v>65</v>
      </c>
      <c r="F121">
        <v>1</v>
      </c>
      <c r="G121" t="s">
        <v>21</v>
      </c>
      <c r="H121" t="s">
        <v>66</v>
      </c>
      <c r="I121" t="s">
        <v>598</v>
      </c>
      <c r="J121">
        <v>3.213400201191E+23</v>
      </c>
      <c r="K121">
        <v>87500</v>
      </c>
      <c r="L121" s="1">
        <v>43677</v>
      </c>
    </row>
    <row r="122" spans="1:12" x14ac:dyDescent="0.5">
      <c r="A122">
        <v>1900004917</v>
      </c>
      <c r="B122" s="1">
        <v>43818</v>
      </c>
      <c r="C122" t="s">
        <v>24</v>
      </c>
      <c r="D122" t="s">
        <v>22</v>
      </c>
      <c r="E122" t="s">
        <v>65</v>
      </c>
      <c r="F122">
        <v>1</v>
      </c>
      <c r="G122" t="s">
        <v>21</v>
      </c>
      <c r="H122" t="s">
        <v>66</v>
      </c>
      <c r="I122" t="s">
        <v>599</v>
      </c>
      <c r="J122">
        <v>22515779</v>
      </c>
      <c r="K122">
        <v>44260</v>
      </c>
      <c r="L122" s="1">
        <v>43738</v>
      </c>
    </row>
    <row r="123" spans="1:12" x14ac:dyDescent="0.5">
      <c r="A123">
        <v>1900004919</v>
      </c>
      <c r="B123" s="1">
        <v>43818</v>
      </c>
      <c r="C123" t="s">
        <v>24</v>
      </c>
      <c r="D123" t="s">
        <v>22</v>
      </c>
      <c r="E123" t="s">
        <v>54</v>
      </c>
      <c r="F123">
        <v>5</v>
      </c>
      <c r="G123" t="s">
        <v>134</v>
      </c>
      <c r="H123" t="s">
        <v>28</v>
      </c>
      <c r="I123" t="s">
        <v>600</v>
      </c>
      <c r="J123">
        <v>9.9000046190100005E+19</v>
      </c>
      <c r="K123">
        <v>11550</v>
      </c>
      <c r="L123" s="1">
        <v>43716</v>
      </c>
    </row>
    <row r="124" spans="1:12" x14ac:dyDescent="0.5">
      <c r="A124">
        <v>1900004920</v>
      </c>
      <c r="B124" s="1">
        <v>43818</v>
      </c>
      <c r="C124" t="s">
        <v>24</v>
      </c>
      <c r="D124" t="s">
        <v>22</v>
      </c>
      <c r="E124" t="s">
        <v>61</v>
      </c>
      <c r="F124">
        <v>5</v>
      </c>
      <c r="G124" t="s">
        <v>134</v>
      </c>
      <c r="H124" t="s">
        <v>28</v>
      </c>
      <c r="I124" t="s">
        <v>601</v>
      </c>
      <c r="J124">
        <v>9.90000111903E+19</v>
      </c>
      <c r="K124">
        <v>43033</v>
      </c>
      <c r="L124" s="1">
        <v>43716</v>
      </c>
    </row>
    <row r="125" spans="1:12" x14ac:dyDescent="0.5">
      <c r="A125">
        <v>1900004922</v>
      </c>
      <c r="B125" s="1">
        <v>43818</v>
      </c>
      <c r="C125" t="s">
        <v>24</v>
      </c>
      <c r="D125" t="s">
        <v>22</v>
      </c>
      <c r="E125" t="s">
        <v>54</v>
      </c>
      <c r="F125">
        <v>5</v>
      </c>
      <c r="G125" t="s">
        <v>134</v>
      </c>
      <c r="H125" t="s">
        <v>28</v>
      </c>
      <c r="I125" t="s">
        <v>602</v>
      </c>
      <c r="J125">
        <v>9.9000046190100005E+19</v>
      </c>
      <c r="K125">
        <v>7700</v>
      </c>
      <c r="L125" s="1">
        <v>43716</v>
      </c>
    </row>
    <row r="126" spans="1:12" x14ac:dyDescent="0.5">
      <c r="A126">
        <v>1900004923</v>
      </c>
      <c r="B126" s="1">
        <v>43818</v>
      </c>
      <c r="C126" t="s">
        <v>24</v>
      </c>
      <c r="D126" t="s">
        <v>22</v>
      </c>
      <c r="E126" t="s">
        <v>61</v>
      </c>
      <c r="F126">
        <v>5</v>
      </c>
      <c r="G126" t="s">
        <v>134</v>
      </c>
      <c r="H126" t="s">
        <v>28</v>
      </c>
      <c r="I126" t="s">
        <v>603</v>
      </c>
      <c r="J126">
        <v>9.90000111903E+19</v>
      </c>
      <c r="K126">
        <v>72139</v>
      </c>
      <c r="L126" s="1">
        <v>43716</v>
      </c>
    </row>
    <row r="127" spans="1:12" x14ac:dyDescent="0.5">
      <c r="A127">
        <v>1900004928</v>
      </c>
      <c r="B127" s="1">
        <v>43818</v>
      </c>
      <c r="C127" t="s">
        <v>24</v>
      </c>
      <c r="D127" t="s">
        <v>22</v>
      </c>
      <c r="E127" t="s">
        <v>33</v>
      </c>
      <c r="F127">
        <v>3</v>
      </c>
      <c r="G127" t="s">
        <v>64</v>
      </c>
      <c r="H127" t="s">
        <v>66</v>
      </c>
      <c r="I127" t="s">
        <v>604</v>
      </c>
      <c r="J127">
        <v>9.9000044190299996E+19</v>
      </c>
      <c r="K127">
        <v>32585</v>
      </c>
      <c r="L127" s="1">
        <v>43719</v>
      </c>
    </row>
    <row r="128" spans="1:12" x14ac:dyDescent="0.5">
      <c r="A128">
        <v>1900004933</v>
      </c>
      <c r="B128" s="1">
        <v>43818</v>
      </c>
      <c r="C128" t="s">
        <v>24</v>
      </c>
      <c r="D128" t="s">
        <v>22</v>
      </c>
      <c r="E128" t="s">
        <v>33</v>
      </c>
      <c r="F128">
        <v>3</v>
      </c>
      <c r="G128" t="s">
        <v>64</v>
      </c>
      <c r="H128" t="s">
        <v>66</v>
      </c>
      <c r="I128" t="s">
        <v>605</v>
      </c>
      <c r="J128">
        <v>9.9000044190299996E+19</v>
      </c>
      <c r="K128">
        <v>8045</v>
      </c>
      <c r="L128" s="1">
        <v>43730</v>
      </c>
    </row>
    <row r="129" spans="1:12" x14ac:dyDescent="0.5">
      <c r="A129">
        <v>1900004983</v>
      </c>
      <c r="B129" s="1">
        <v>43818</v>
      </c>
      <c r="C129" t="s">
        <v>24</v>
      </c>
      <c r="D129" t="s">
        <v>22</v>
      </c>
      <c r="E129" t="s">
        <v>65</v>
      </c>
      <c r="F129">
        <v>4</v>
      </c>
      <c r="G129" t="s">
        <v>317</v>
      </c>
      <c r="H129" t="s">
        <v>23</v>
      </c>
      <c r="I129" t="s">
        <v>606</v>
      </c>
      <c r="J129" t="s">
        <v>401</v>
      </c>
      <c r="K129">
        <v>26968</v>
      </c>
      <c r="L129" s="1">
        <v>43763</v>
      </c>
    </row>
    <row r="130" spans="1:12" x14ac:dyDescent="0.5">
      <c r="A130">
        <v>1900004984</v>
      </c>
      <c r="B130" s="1">
        <v>43818</v>
      </c>
      <c r="C130" t="s">
        <v>24</v>
      </c>
      <c r="D130" t="s">
        <v>22</v>
      </c>
      <c r="E130" t="s">
        <v>65</v>
      </c>
      <c r="F130">
        <v>4</v>
      </c>
      <c r="G130" t="s">
        <v>317</v>
      </c>
      <c r="H130" t="s">
        <v>23</v>
      </c>
      <c r="I130" t="s">
        <v>607</v>
      </c>
      <c r="J130" t="s">
        <v>400</v>
      </c>
      <c r="K130">
        <v>2437</v>
      </c>
      <c r="L130" s="1">
        <v>43764</v>
      </c>
    </row>
    <row r="131" spans="1:12" x14ac:dyDescent="0.5">
      <c r="A131">
        <v>1900004985</v>
      </c>
      <c r="B131" s="1">
        <v>43818</v>
      </c>
      <c r="C131" t="s">
        <v>24</v>
      </c>
      <c r="D131" t="s">
        <v>22</v>
      </c>
      <c r="E131" t="s">
        <v>65</v>
      </c>
      <c r="F131">
        <v>4</v>
      </c>
      <c r="G131" t="s">
        <v>317</v>
      </c>
      <c r="H131" t="s">
        <v>23</v>
      </c>
      <c r="I131" t="s">
        <v>608</v>
      </c>
      <c r="J131" t="s">
        <v>417</v>
      </c>
      <c r="K131">
        <v>53278</v>
      </c>
      <c r="L131" s="1">
        <v>43466</v>
      </c>
    </row>
    <row r="132" spans="1:12" x14ac:dyDescent="0.5">
      <c r="A132">
        <v>1900004986</v>
      </c>
      <c r="B132" s="1">
        <v>43818</v>
      </c>
      <c r="C132" t="s">
        <v>24</v>
      </c>
      <c r="D132" t="s">
        <v>22</v>
      </c>
      <c r="E132" t="s">
        <v>65</v>
      </c>
      <c r="F132">
        <v>4</v>
      </c>
      <c r="G132" t="s">
        <v>317</v>
      </c>
      <c r="H132" t="s">
        <v>23</v>
      </c>
      <c r="I132" t="s">
        <v>609</v>
      </c>
      <c r="J132" t="s">
        <v>418</v>
      </c>
      <c r="K132">
        <v>30048</v>
      </c>
      <c r="L132" s="1">
        <v>43466</v>
      </c>
    </row>
    <row r="133" spans="1:12" x14ac:dyDescent="0.5">
      <c r="A133">
        <v>1900004987</v>
      </c>
      <c r="B133" s="1">
        <v>43818</v>
      </c>
      <c r="C133" t="s">
        <v>24</v>
      </c>
      <c r="D133" t="s">
        <v>22</v>
      </c>
      <c r="E133" t="s">
        <v>65</v>
      </c>
      <c r="F133">
        <v>4</v>
      </c>
      <c r="G133" t="s">
        <v>317</v>
      </c>
      <c r="H133" t="s">
        <v>23</v>
      </c>
      <c r="I133" t="s">
        <v>610</v>
      </c>
      <c r="J133">
        <v>3.1142029974272998E+18</v>
      </c>
      <c r="K133">
        <v>12500</v>
      </c>
      <c r="L133" s="1">
        <v>43727</v>
      </c>
    </row>
    <row r="134" spans="1:12" x14ac:dyDescent="0.5">
      <c r="A134">
        <v>1900005036</v>
      </c>
      <c r="B134" s="1">
        <v>43819</v>
      </c>
      <c r="C134" t="s">
        <v>24</v>
      </c>
      <c r="D134" t="s">
        <v>22</v>
      </c>
      <c r="E134" t="s">
        <v>65</v>
      </c>
      <c r="F134">
        <v>1</v>
      </c>
      <c r="G134" t="s">
        <v>21</v>
      </c>
      <c r="H134" t="s">
        <v>66</v>
      </c>
      <c r="I134" t="s">
        <v>611</v>
      </c>
      <c r="J134" t="s">
        <v>333</v>
      </c>
      <c r="K134">
        <v>3854</v>
      </c>
      <c r="L134" s="1">
        <v>43585</v>
      </c>
    </row>
    <row r="135" spans="1:12" x14ac:dyDescent="0.5">
      <c r="A135">
        <v>1900005300</v>
      </c>
      <c r="B135" s="1">
        <v>43823</v>
      </c>
      <c r="C135" t="s">
        <v>560</v>
      </c>
      <c r="D135" t="s">
        <v>22</v>
      </c>
      <c r="E135" t="s">
        <v>65</v>
      </c>
      <c r="F135">
        <v>4</v>
      </c>
      <c r="G135" t="s">
        <v>317</v>
      </c>
      <c r="H135" t="s">
        <v>23</v>
      </c>
      <c r="I135" t="s">
        <v>612</v>
      </c>
      <c r="J135">
        <v>304003763</v>
      </c>
      <c r="K135">
        <v>132392</v>
      </c>
      <c r="L135" s="1">
        <v>43819</v>
      </c>
    </row>
    <row r="136" spans="1:12" x14ac:dyDescent="0.5">
      <c r="A136">
        <v>1900005300</v>
      </c>
      <c r="B136" s="1">
        <v>43823</v>
      </c>
      <c r="C136" t="s">
        <v>560</v>
      </c>
      <c r="D136" t="s">
        <v>22</v>
      </c>
      <c r="E136" t="s">
        <v>65</v>
      </c>
      <c r="F136">
        <v>4</v>
      </c>
      <c r="G136" t="s">
        <v>317</v>
      </c>
      <c r="H136" t="s">
        <v>23</v>
      </c>
      <c r="I136" t="s">
        <v>613</v>
      </c>
      <c r="J136" t="s">
        <v>320</v>
      </c>
      <c r="K136">
        <v>132392</v>
      </c>
      <c r="L136" s="1">
        <v>43819</v>
      </c>
    </row>
    <row r="137" spans="1:12" x14ac:dyDescent="0.5">
      <c r="A137">
        <v>1900005300</v>
      </c>
      <c r="B137" s="1">
        <v>43823</v>
      </c>
      <c r="C137" t="s">
        <v>560</v>
      </c>
      <c r="D137" t="s">
        <v>22</v>
      </c>
      <c r="E137" t="s">
        <v>65</v>
      </c>
      <c r="F137">
        <v>4</v>
      </c>
      <c r="G137" t="s">
        <v>317</v>
      </c>
      <c r="H137" t="s">
        <v>23</v>
      </c>
      <c r="I137" t="s">
        <v>614</v>
      </c>
      <c r="J137">
        <v>2.4142020928135997E+18</v>
      </c>
      <c r="K137">
        <v>132392</v>
      </c>
      <c r="L137" s="1">
        <v>43819</v>
      </c>
    </row>
    <row r="138" spans="1:12" x14ac:dyDescent="0.5">
      <c r="A138">
        <v>1900005300</v>
      </c>
      <c r="B138" s="1">
        <v>43823</v>
      </c>
      <c r="C138" t="s">
        <v>560</v>
      </c>
      <c r="D138" t="s">
        <v>22</v>
      </c>
      <c r="E138" t="s">
        <v>65</v>
      </c>
      <c r="F138">
        <v>4</v>
      </c>
      <c r="G138" t="s">
        <v>317</v>
      </c>
      <c r="H138" t="s">
        <v>23</v>
      </c>
      <c r="I138" t="s">
        <v>615</v>
      </c>
      <c r="J138" t="s">
        <v>332</v>
      </c>
      <c r="K138">
        <v>132392</v>
      </c>
      <c r="L138" s="1">
        <v>43819</v>
      </c>
    </row>
    <row r="139" spans="1:12" x14ac:dyDescent="0.5">
      <c r="A139">
        <v>1900005324</v>
      </c>
      <c r="B139" s="1">
        <v>43823</v>
      </c>
      <c r="C139" t="s">
        <v>24</v>
      </c>
      <c r="D139" t="s">
        <v>22</v>
      </c>
      <c r="E139" t="s">
        <v>33</v>
      </c>
      <c r="F139">
        <v>3</v>
      </c>
      <c r="G139" t="s">
        <v>64</v>
      </c>
      <c r="H139" t="s">
        <v>66</v>
      </c>
      <c r="I139" t="s">
        <v>616</v>
      </c>
      <c r="J139">
        <v>9.9000044190299996E+19</v>
      </c>
      <c r="K139">
        <v>26805</v>
      </c>
      <c r="L139" s="1">
        <v>43788</v>
      </c>
    </row>
    <row r="140" spans="1:12" x14ac:dyDescent="0.5">
      <c r="A140">
        <v>1900005325</v>
      </c>
      <c r="B140" s="1">
        <v>43823</v>
      </c>
      <c r="C140" t="s">
        <v>24</v>
      </c>
      <c r="D140" t="s">
        <v>22</v>
      </c>
      <c r="E140" t="s">
        <v>42</v>
      </c>
      <c r="F140">
        <v>5</v>
      </c>
      <c r="G140" t="s">
        <v>134</v>
      </c>
      <c r="H140" t="s">
        <v>23</v>
      </c>
      <c r="I140" t="s">
        <v>617</v>
      </c>
      <c r="J140">
        <v>43191791</v>
      </c>
      <c r="K140">
        <v>956</v>
      </c>
      <c r="L140" s="1">
        <v>43649</v>
      </c>
    </row>
    <row r="141" spans="1:12" x14ac:dyDescent="0.5">
      <c r="A141">
        <v>1900005329</v>
      </c>
      <c r="B141" s="1">
        <v>43823</v>
      </c>
      <c r="C141" t="s">
        <v>24</v>
      </c>
      <c r="D141" t="s">
        <v>22</v>
      </c>
      <c r="E141" t="s">
        <v>65</v>
      </c>
      <c r="F141">
        <v>1</v>
      </c>
      <c r="G141" t="s">
        <v>21</v>
      </c>
      <c r="H141" t="s">
        <v>66</v>
      </c>
      <c r="I141" t="s">
        <v>618</v>
      </c>
      <c r="J141">
        <v>3.1142029634361999E+18</v>
      </c>
      <c r="K141">
        <v>2089</v>
      </c>
      <c r="L141" s="1">
        <v>43703</v>
      </c>
    </row>
    <row r="142" spans="1:12" x14ac:dyDescent="0.5">
      <c r="A142">
        <v>1900005331</v>
      </c>
      <c r="B142" s="1">
        <v>43823</v>
      </c>
      <c r="C142" t="s">
        <v>24</v>
      </c>
      <c r="D142" t="s">
        <v>22</v>
      </c>
      <c r="E142" t="s">
        <v>65</v>
      </c>
      <c r="F142">
        <v>4</v>
      </c>
      <c r="G142" t="s">
        <v>317</v>
      </c>
      <c r="H142" t="s">
        <v>23</v>
      </c>
      <c r="I142" t="s">
        <v>619</v>
      </c>
      <c r="J142" t="s">
        <v>536</v>
      </c>
      <c r="K142">
        <v>8580</v>
      </c>
      <c r="L142" s="1">
        <v>43729</v>
      </c>
    </row>
    <row r="143" spans="1:12" x14ac:dyDescent="0.5">
      <c r="A143">
        <v>1900005394</v>
      </c>
      <c r="B143" s="1">
        <v>43824</v>
      </c>
      <c r="C143" t="s">
        <v>24</v>
      </c>
      <c r="D143" t="s">
        <v>22</v>
      </c>
      <c r="E143" t="s">
        <v>65</v>
      </c>
      <c r="F143">
        <v>4</v>
      </c>
      <c r="G143" t="s">
        <v>317</v>
      </c>
      <c r="H143" t="s">
        <v>23</v>
      </c>
      <c r="I143" t="s">
        <v>620</v>
      </c>
      <c r="J143" t="s">
        <v>232</v>
      </c>
      <c r="K143">
        <v>60713</v>
      </c>
      <c r="L143" s="1">
        <v>43647</v>
      </c>
    </row>
    <row r="144" spans="1:12" x14ac:dyDescent="0.5">
      <c r="A144">
        <v>1900005395</v>
      </c>
      <c r="B144" s="1">
        <v>43824</v>
      </c>
      <c r="C144" t="s">
        <v>24</v>
      </c>
      <c r="D144" t="s">
        <v>22</v>
      </c>
      <c r="E144" t="s">
        <v>20</v>
      </c>
      <c r="F144">
        <v>4</v>
      </c>
      <c r="G144" t="s">
        <v>317</v>
      </c>
      <c r="H144" t="s">
        <v>23</v>
      </c>
      <c r="I144" t="s">
        <v>621</v>
      </c>
      <c r="J144">
        <v>22531899</v>
      </c>
      <c r="K144">
        <v>50160</v>
      </c>
      <c r="L144" s="1">
        <v>43765</v>
      </c>
    </row>
    <row r="145" spans="1:12" x14ac:dyDescent="0.5">
      <c r="A145">
        <v>1900005396</v>
      </c>
      <c r="B145" s="1">
        <v>43824</v>
      </c>
      <c r="C145" t="s">
        <v>24</v>
      </c>
      <c r="D145" t="s">
        <v>22</v>
      </c>
      <c r="E145" t="s">
        <v>65</v>
      </c>
      <c r="F145">
        <v>4</v>
      </c>
      <c r="G145" t="s">
        <v>317</v>
      </c>
      <c r="H145" t="s">
        <v>23</v>
      </c>
      <c r="I145" t="s">
        <v>622</v>
      </c>
      <c r="J145" t="s">
        <v>249</v>
      </c>
      <c r="K145">
        <v>71765</v>
      </c>
      <c r="L145" s="1">
        <v>43764</v>
      </c>
    </row>
    <row r="146" spans="1:12" x14ac:dyDescent="0.5">
      <c r="A146">
        <v>1900005439</v>
      </c>
      <c r="B146" s="1">
        <v>43824</v>
      </c>
      <c r="C146" t="s">
        <v>24</v>
      </c>
      <c r="D146" t="s">
        <v>22</v>
      </c>
      <c r="E146" t="s">
        <v>33</v>
      </c>
      <c r="F146">
        <v>13</v>
      </c>
      <c r="G146" t="s">
        <v>572</v>
      </c>
      <c r="H146" t="s">
        <v>66</v>
      </c>
      <c r="I146" t="s">
        <v>623</v>
      </c>
      <c r="J146" t="s">
        <v>442</v>
      </c>
      <c r="K146">
        <v>62399</v>
      </c>
      <c r="L146" s="1">
        <v>43783</v>
      </c>
    </row>
    <row r="147" spans="1:12" x14ac:dyDescent="0.5">
      <c r="A147">
        <v>1900005516</v>
      </c>
      <c r="B147" s="1">
        <v>43825</v>
      </c>
      <c r="C147" t="s">
        <v>24</v>
      </c>
      <c r="D147" t="s">
        <v>22</v>
      </c>
      <c r="E147" t="s">
        <v>37</v>
      </c>
      <c r="F147">
        <v>10</v>
      </c>
      <c r="G147" t="s">
        <v>41</v>
      </c>
      <c r="H147" t="s">
        <v>66</v>
      </c>
      <c r="I147" t="s">
        <v>624</v>
      </c>
      <c r="J147">
        <v>2280014070</v>
      </c>
      <c r="K147">
        <v>27530</v>
      </c>
      <c r="L147" s="1">
        <v>43533</v>
      </c>
    </row>
    <row r="148" spans="1:12" x14ac:dyDescent="0.5">
      <c r="A148">
        <v>1900005526</v>
      </c>
      <c r="B148" s="1">
        <v>43825</v>
      </c>
      <c r="C148" t="s">
        <v>24</v>
      </c>
      <c r="D148" t="s">
        <v>22</v>
      </c>
      <c r="E148" t="s">
        <v>42</v>
      </c>
      <c r="F148">
        <v>6</v>
      </c>
      <c r="G148" t="s">
        <v>104</v>
      </c>
      <c r="H148" t="s">
        <v>23</v>
      </c>
      <c r="I148" t="s">
        <v>625</v>
      </c>
      <c r="J148" t="s">
        <v>77</v>
      </c>
      <c r="K148">
        <v>60000</v>
      </c>
      <c r="L148" s="1">
        <v>43556</v>
      </c>
    </row>
    <row r="149" spans="1:12" x14ac:dyDescent="0.5">
      <c r="A149">
        <v>1900005527</v>
      </c>
      <c r="B149" s="1">
        <v>43825</v>
      </c>
      <c r="C149" t="s">
        <v>24</v>
      </c>
      <c r="D149" t="s">
        <v>22</v>
      </c>
      <c r="E149" t="s">
        <v>65</v>
      </c>
      <c r="F149">
        <v>4</v>
      </c>
      <c r="G149" t="s">
        <v>317</v>
      </c>
      <c r="H149" t="s">
        <v>23</v>
      </c>
      <c r="I149" t="s">
        <v>626</v>
      </c>
      <c r="J149">
        <v>1.203004619248E+19</v>
      </c>
      <c r="K149">
        <v>77400</v>
      </c>
      <c r="L149" s="1">
        <v>43687</v>
      </c>
    </row>
    <row r="150" spans="1:12" x14ac:dyDescent="0.5">
      <c r="A150">
        <v>1900005528</v>
      </c>
      <c r="B150" s="1">
        <v>43825</v>
      </c>
      <c r="C150" t="s">
        <v>24</v>
      </c>
      <c r="D150" t="s">
        <v>22</v>
      </c>
      <c r="E150" t="s">
        <v>65</v>
      </c>
      <c r="F150">
        <v>4</v>
      </c>
      <c r="G150" t="s">
        <v>317</v>
      </c>
      <c r="H150" t="s">
        <v>23</v>
      </c>
      <c r="I150" t="s">
        <v>627</v>
      </c>
      <c r="J150">
        <v>1.203004619248E+19</v>
      </c>
      <c r="K150">
        <v>302812</v>
      </c>
      <c r="L150" s="1">
        <v>43687</v>
      </c>
    </row>
    <row r="151" spans="1:12" x14ac:dyDescent="0.5">
      <c r="A151">
        <v>1900005529</v>
      </c>
      <c r="B151" s="1">
        <v>43825</v>
      </c>
      <c r="C151" t="s">
        <v>24</v>
      </c>
      <c r="D151" t="s">
        <v>22</v>
      </c>
      <c r="E151" t="s">
        <v>54</v>
      </c>
      <c r="F151">
        <v>13</v>
      </c>
      <c r="G151" t="s">
        <v>572</v>
      </c>
      <c r="H151" t="s">
        <v>23</v>
      </c>
      <c r="I151" t="s">
        <v>628</v>
      </c>
      <c r="J151" t="s">
        <v>261</v>
      </c>
      <c r="K151">
        <v>275569</v>
      </c>
      <c r="L151" s="1">
        <v>43525</v>
      </c>
    </row>
    <row r="152" spans="1:12" x14ac:dyDescent="0.5">
      <c r="A152">
        <v>1900005530</v>
      </c>
      <c r="B152" s="1">
        <v>43825</v>
      </c>
      <c r="C152" t="s">
        <v>24</v>
      </c>
      <c r="D152" t="s">
        <v>22</v>
      </c>
      <c r="E152" t="s">
        <v>37</v>
      </c>
      <c r="F152">
        <v>13</v>
      </c>
      <c r="G152" t="s">
        <v>572</v>
      </c>
      <c r="H152" t="s">
        <v>23</v>
      </c>
      <c r="I152" t="s">
        <v>629</v>
      </c>
      <c r="J152" t="s">
        <v>260</v>
      </c>
      <c r="K152">
        <v>320000</v>
      </c>
      <c r="L152" s="1">
        <v>43496</v>
      </c>
    </row>
    <row r="153" spans="1:12" x14ac:dyDescent="0.5">
      <c r="A153">
        <v>1900005531</v>
      </c>
      <c r="B153" s="1">
        <v>43825</v>
      </c>
      <c r="C153" t="s">
        <v>24</v>
      </c>
      <c r="D153" t="s">
        <v>22</v>
      </c>
      <c r="E153" t="s">
        <v>42</v>
      </c>
      <c r="F153">
        <v>6</v>
      </c>
      <c r="G153" t="s">
        <v>104</v>
      </c>
      <c r="H153" t="s">
        <v>23</v>
      </c>
      <c r="I153" t="s">
        <v>630</v>
      </c>
      <c r="J153">
        <v>3393</v>
      </c>
      <c r="K153">
        <v>114752</v>
      </c>
      <c r="L153" s="1">
        <v>43770</v>
      </c>
    </row>
    <row r="154" spans="1:12" x14ac:dyDescent="0.5">
      <c r="A154">
        <v>1900005532</v>
      </c>
      <c r="B154" s="1">
        <v>43825</v>
      </c>
      <c r="C154" t="s">
        <v>24</v>
      </c>
      <c r="D154" t="s">
        <v>22</v>
      </c>
      <c r="E154" t="s">
        <v>42</v>
      </c>
      <c r="F154">
        <v>6</v>
      </c>
      <c r="G154" t="s">
        <v>104</v>
      </c>
      <c r="H154" t="s">
        <v>28</v>
      </c>
      <c r="I154" t="s">
        <v>631</v>
      </c>
      <c r="J154" t="s">
        <v>504</v>
      </c>
      <c r="K154">
        <v>49027</v>
      </c>
      <c r="L154" s="1">
        <v>43500</v>
      </c>
    </row>
    <row r="155" spans="1:12" x14ac:dyDescent="0.5">
      <c r="A155">
        <v>1900005555</v>
      </c>
      <c r="B155" s="1">
        <v>43825</v>
      </c>
      <c r="C155" t="s">
        <v>24</v>
      </c>
      <c r="D155" t="s">
        <v>22</v>
      </c>
      <c r="E155" t="s">
        <v>33</v>
      </c>
      <c r="F155">
        <v>13</v>
      </c>
      <c r="G155" t="s">
        <v>572</v>
      </c>
      <c r="H155" t="s">
        <v>66</v>
      </c>
      <c r="I155" t="s">
        <v>632</v>
      </c>
      <c r="J155" t="s">
        <v>448</v>
      </c>
      <c r="K155">
        <v>153332</v>
      </c>
      <c r="L155" s="1">
        <v>43757</v>
      </c>
    </row>
    <row r="156" spans="1:12" x14ac:dyDescent="0.5">
      <c r="A156">
        <v>1900005760</v>
      </c>
      <c r="B156" s="1">
        <v>43827</v>
      </c>
      <c r="C156" t="s">
        <v>24</v>
      </c>
      <c r="D156" t="s">
        <v>22</v>
      </c>
      <c r="E156" t="s">
        <v>20</v>
      </c>
      <c r="F156">
        <v>5</v>
      </c>
      <c r="G156" t="s">
        <v>134</v>
      </c>
      <c r="H156" t="s">
        <v>28</v>
      </c>
      <c r="I156" t="s">
        <v>633</v>
      </c>
      <c r="J156">
        <v>2.4142027811737001E+18</v>
      </c>
      <c r="K156">
        <v>23591</v>
      </c>
      <c r="L156" s="1">
        <v>43586</v>
      </c>
    </row>
    <row r="157" spans="1:12" x14ac:dyDescent="0.5">
      <c r="A157">
        <v>1900005761</v>
      </c>
      <c r="B157" s="1">
        <v>43827</v>
      </c>
      <c r="C157" t="s">
        <v>24</v>
      </c>
      <c r="D157" t="s">
        <v>22</v>
      </c>
      <c r="E157" t="s">
        <v>65</v>
      </c>
      <c r="F157">
        <v>4</v>
      </c>
      <c r="G157" t="s">
        <v>317</v>
      </c>
      <c r="H157" t="s">
        <v>23</v>
      </c>
      <c r="I157" t="s">
        <v>634</v>
      </c>
      <c r="J157" t="s">
        <v>229</v>
      </c>
      <c r="K157">
        <v>19181</v>
      </c>
      <c r="L157" s="1">
        <v>43679</v>
      </c>
    </row>
    <row r="158" spans="1:12" x14ac:dyDescent="0.5">
      <c r="A158">
        <v>1900005767</v>
      </c>
      <c r="B158" s="1">
        <v>43827</v>
      </c>
      <c r="C158" t="s">
        <v>24</v>
      </c>
      <c r="D158" t="s">
        <v>22</v>
      </c>
      <c r="E158" t="s">
        <v>61</v>
      </c>
      <c r="F158">
        <v>5</v>
      </c>
      <c r="G158" t="s">
        <v>134</v>
      </c>
      <c r="H158" t="s">
        <v>28</v>
      </c>
      <c r="I158" t="s">
        <v>635</v>
      </c>
      <c r="J158">
        <v>2.3060011180300001E+19</v>
      </c>
      <c r="K158">
        <v>8228</v>
      </c>
      <c r="L158" s="1">
        <v>43524</v>
      </c>
    </row>
    <row r="159" spans="1:12" x14ac:dyDescent="0.5">
      <c r="A159">
        <v>1900005768</v>
      </c>
      <c r="B159" s="1">
        <v>43827</v>
      </c>
      <c r="C159" t="s">
        <v>24</v>
      </c>
      <c r="D159" t="s">
        <v>22</v>
      </c>
      <c r="E159" t="s">
        <v>61</v>
      </c>
      <c r="F159">
        <v>5</v>
      </c>
      <c r="G159" t="s">
        <v>134</v>
      </c>
      <c r="H159" t="s">
        <v>66</v>
      </c>
      <c r="I159" t="s">
        <v>636</v>
      </c>
      <c r="J159">
        <v>2.3060011180300001E+19</v>
      </c>
      <c r="K159">
        <v>5241</v>
      </c>
      <c r="L159" s="1">
        <v>43658</v>
      </c>
    </row>
    <row r="160" spans="1:12" x14ac:dyDescent="0.5">
      <c r="A160">
        <v>1900005769</v>
      </c>
      <c r="B160" s="1">
        <v>43827</v>
      </c>
      <c r="C160" t="s">
        <v>24</v>
      </c>
      <c r="D160" t="s">
        <v>22</v>
      </c>
      <c r="E160" t="s">
        <v>61</v>
      </c>
      <c r="F160">
        <v>5</v>
      </c>
      <c r="G160" t="s">
        <v>134</v>
      </c>
      <c r="H160" t="s">
        <v>66</v>
      </c>
      <c r="I160" t="s">
        <v>637</v>
      </c>
      <c r="J160">
        <v>9.9000046190799995E+19</v>
      </c>
      <c r="K160">
        <v>13154</v>
      </c>
      <c r="L160" s="1">
        <v>43748</v>
      </c>
    </row>
    <row r="161" spans="1:12" x14ac:dyDescent="0.5">
      <c r="A161">
        <v>1900005770</v>
      </c>
      <c r="B161" s="1">
        <v>43827</v>
      </c>
      <c r="C161" t="s">
        <v>24</v>
      </c>
      <c r="D161" t="s">
        <v>22</v>
      </c>
      <c r="E161" t="s">
        <v>61</v>
      </c>
      <c r="F161">
        <v>5</v>
      </c>
      <c r="G161" t="s">
        <v>134</v>
      </c>
      <c r="H161" t="s">
        <v>28</v>
      </c>
      <c r="I161" t="s">
        <v>638</v>
      </c>
      <c r="J161">
        <v>9.9000046190799995E+19</v>
      </c>
      <c r="K161">
        <v>14461</v>
      </c>
      <c r="L161" s="1">
        <v>43716</v>
      </c>
    </row>
    <row r="162" spans="1:12" x14ac:dyDescent="0.5">
      <c r="A162">
        <v>1900005771</v>
      </c>
      <c r="B162" s="1">
        <v>43827</v>
      </c>
      <c r="C162" t="s">
        <v>24</v>
      </c>
      <c r="D162" t="s">
        <v>22</v>
      </c>
      <c r="E162" t="s">
        <v>65</v>
      </c>
      <c r="F162">
        <v>4</v>
      </c>
      <c r="G162" t="s">
        <v>317</v>
      </c>
      <c r="H162" t="s">
        <v>23</v>
      </c>
      <c r="I162" t="s">
        <v>639</v>
      </c>
      <c r="J162" t="s">
        <v>276</v>
      </c>
      <c r="K162">
        <v>2853</v>
      </c>
      <c r="L162" s="1">
        <v>43639</v>
      </c>
    </row>
    <row r="163" spans="1:12" x14ac:dyDescent="0.5">
      <c r="A163">
        <v>1900005772</v>
      </c>
      <c r="B163" s="1">
        <v>43827</v>
      </c>
      <c r="C163" t="s">
        <v>24</v>
      </c>
      <c r="D163" t="s">
        <v>22</v>
      </c>
      <c r="E163" t="s">
        <v>65</v>
      </c>
      <c r="F163">
        <v>4</v>
      </c>
      <c r="G163" t="s">
        <v>317</v>
      </c>
      <c r="H163" t="s">
        <v>23</v>
      </c>
      <c r="I163" t="s">
        <v>640</v>
      </c>
      <c r="J163" t="s">
        <v>277</v>
      </c>
      <c r="K163">
        <v>495</v>
      </c>
      <c r="L163" s="1">
        <v>43639</v>
      </c>
    </row>
    <row r="164" spans="1:12" x14ac:dyDescent="0.5">
      <c r="A164">
        <v>1900005773</v>
      </c>
      <c r="B164" s="1">
        <v>43827</v>
      </c>
      <c r="C164" t="s">
        <v>24</v>
      </c>
      <c r="D164" t="s">
        <v>22</v>
      </c>
      <c r="E164" t="s">
        <v>65</v>
      </c>
      <c r="F164">
        <v>4</v>
      </c>
      <c r="G164" t="s">
        <v>317</v>
      </c>
      <c r="H164" t="s">
        <v>23</v>
      </c>
      <c r="I164" t="s">
        <v>641</v>
      </c>
      <c r="J164" t="s">
        <v>272</v>
      </c>
      <c r="K164">
        <v>5891</v>
      </c>
      <c r="L164" s="1">
        <v>43500</v>
      </c>
    </row>
    <row r="165" spans="1:12" x14ac:dyDescent="0.5">
      <c r="A165">
        <v>1900005774</v>
      </c>
      <c r="B165" s="1">
        <v>43827</v>
      </c>
      <c r="C165" t="s">
        <v>24</v>
      </c>
      <c r="D165" t="s">
        <v>22</v>
      </c>
      <c r="E165" t="s">
        <v>54</v>
      </c>
      <c r="F165">
        <v>3</v>
      </c>
      <c r="G165" t="s">
        <v>64</v>
      </c>
      <c r="H165" t="s">
        <v>66</v>
      </c>
      <c r="I165" t="s">
        <v>642</v>
      </c>
      <c r="J165" t="s">
        <v>390</v>
      </c>
      <c r="K165">
        <v>4596</v>
      </c>
      <c r="L165" s="1">
        <v>43601</v>
      </c>
    </row>
    <row r="166" spans="1:12" x14ac:dyDescent="0.5">
      <c r="A166">
        <v>1900005775</v>
      </c>
      <c r="B166" s="1">
        <v>43827</v>
      </c>
      <c r="C166" t="s">
        <v>24</v>
      </c>
      <c r="D166" t="s">
        <v>22</v>
      </c>
      <c r="E166" t="s">
        <v>33</v>
      </c>
      <c r="F166">
        <v>3</v>
      </c>
      <c r="G166" t="s">
        <v>64</v>
      </c>
      <c r="H166" t="s">
        <v>66</v>
      </c>
      <c r="I166" t="s">
        <v>643</v>
      </c>
      <c r="J166">
        <v>9.9000044180300005E+19</v>
      </c>
      <c r="K166">
        <v>21443</v>
      </c>
      <c r="L166" s="1">
        <v>43649</v>
      </c>
    </row>
    <row r="167" spans="1:12" x14ac:dyDescent="0.5">
      <c r="A167">
        <v>1900005776</v>
      </c>
      <c r="B167" s="1">
        <v>43827</v>
      </c>
      <c r="C167" t="s">
        <v>24</v>
      </c>
      <c r="D167" t="s">
        <v>22</v>
      </c>
      <c r="E167" t="s">
        <v>33</v>
      </c>
      <c r="F167">
        <v>3</v>
      </c>
      <c r="G167" t="s">
        <v>64</v>
      </c>
      <c r="H167" t="s">
        <v>66</v>
      </c>
      <c r="I167" t="s">
        <v>644</v>
      </c>
      <c r="J167">
        <v>9.9000044180300005E+19</v>
      </c>
      <c r="K167">
        <v>21442</v>
      </c>
      <c r="L167" s="1">
        <v>43758</v>
      </c>
    </row>
    <row r="168" spans="1:12" x14ac:dyDescent="0.5">
      <c r="A168">
        <v>1900005777</v>
      </c>
      <c r="B168" s="1">
        <v>43827</v>
      </c>
      <c r="C168" t="s">
        <v>24</v>
      </c>
      <c r="D168" t="s">
        <v>22</v>
      </c>
      <c r="E168" t="s">
        <v>33</v>
      </c>
      <c r="F168">
        <v>3</v>
      </c>
      <c r="G168" t="s">
        <v>64</v>
      </c>
      <c r="H168" t="s">
        <v>66</v>
      </c>
      <c r="I168" t="s">
        <v>645</v>
      </c>
      <c r="J168">
        <v>9.9000044180300005E+19</v>
      </c>
      <c r="K168">
        <v>21443</v>
      </c>
      <c r="L168" s="1">
        <v>43540</v>
      </c>
    </row>
    <row r="169" spans="1:12" x14ac:dyDescent="0.5">
      <c r="A169">
        <v>1900005778</v>
      </c>
      <c r="B169" s="1">
        <v>43827</v>
      </c>
      <c r="C169" t="s">
        <v>24</v>
      </c>
      <c r="D169" t="s">
        <v>22</v>
      </c>
      <c r="E169" t="s">
        <v>33</v>
      </c>
      <c r="F169">
        <v>3</v>
      </c>
      <c r="G169" t="s">
        <v>64</v>
      </c>
      <c r="H169" t="s">
        <v>66</v>
      </c>
      <c r="I169" t="s">
        <v>646</v>
      </c>
      <c r="J169">
        <v>9.9000044180300005E+19</v>
      </c>
      <c r="K169">
        <v>17949</v>
      </c>
      <c r="L169" s="1">
        <v>43649</v>
      </c>
    </row>
    <row r="170" spans="1:12" x14ac:dyDescent="0.5">
      <c r="A170">
        <v>1900005779</v>
      </c>
      <c r="B170" s="1">
        <v>43827</v>
      </c>
      <c r="C170" t="s">
        <v>24</v>
      </c>
      <c r="D170" t="s">
        <v>22</v>
      </c>
      <c r="E170" t="s">
        <v>33</v>
      </c>
      <c r="F170">
        <v>3</v>
      </c>
      <c r="G170" t="s">
        <v>64</v>
      </c>
      <c r="H170" t="s">
        <v>66</v>
      </c>
      <c r="I170" t="s">
        <v>647</v>
      </c>
      <c r="J170">
        <v>9.9000044180300005E+19</v>
      </c>
      <c r="K170">
        <v>17949</v>
      </c>
      <c r="L170" s="1">
        <v>43540</v>
      </c>
    </row>
    <row r="171" spans="1:12" x14ac:dyDescent="0.5">
      <c r="A171">
        <v>1900005780</v>
      </c>
      <c r="B171" s="1">
        <v>43827</v>
      </c>
      <c r="C171" t="s">
        <v>24</v>
      </c>
      <c r="D171" t="s">
        <v>22</v>
      </c>
      <c r="E171" t="s">
        <v>54</v>
      </c>
      <c r="F171">
        <v>5</v>
      </c>
      <c r="G171" t="s">
        <v>134</v>
      </c>
      <c r="H171" t="s">
        <v>28</v>
      </c>
      <c r="I171" t="s">
        <v>648</v>
      </c>
      <c r="J171" t="s">
        <v>497</v>
      </c>
      <c r="K171">
        <v>7889</v>
      </c>
      <c r="L171" s="1">
        <v>43477</v>
      </c>
    </row>
    <row r="172" spans="1:12" x14ac:dyDescent="0.5">
      <c r="A172">
        <v>1900005781</v>
      </c>
      <c r="B172" s="1">
        <v>43827</v>
      </c>
      <c r="C172" t="s">
        <v>24</v>
      </c>
      <c r="D172" t="s">
        <v>22</v>
      </c>
      <c r="E172" t="s">
        <v>37</v>
      </c>
      <c r="F172">
        <v>3</v>
      </c>
      <c r="G172" t="s">
        <v>64</v>
      </c>
      <c r="H172" t="s">
        <v>66</v>
      </c>
      <c r="I172" t="s">
        <v>649</v>
      </c>
      <c r="J172">
        <v>3.1142031258438999E+18</v>
      </c>
      <c r="K172">
        <v>8198</v>
      </c>
      <c r="L172" s="1">
        <v>43763</v>
      </c>
    </row>
    <row r="173" spans="1:12" x14ac:dyDescent="0.5">
      <c r="A173">
        <v>1900005782</v>
      </c>
      <c r="B173" s="1">
        <v>43827</v>
      </c>
      <c r="C173" t="s">
        <v>24</v>
      </c>
      <c r="D173" t="s">
        <v>22</v>
      </c>
      <c r="E173" t="s">
        <v>42</v>
      </c>
      <c r="F173">
        <v>6</v>
      </c>
      <c r="G173" t="s">
        <v>104</v>
      </c>
      <c r="H173" t="s">
        <v>28</v>
      </c>
      <c r="I173" t="s">
        <v>650</v>
      </c>
      <c r="J173" t="s">
        <v>503</v>
      </c>
      <c r="K173">
        <v>18697</v>
      </c>
      <c r="L173" s="1">
        <v>43535</v>
      </c>
    </row>
    <row r="174" spans="1:12" x14ac:dyDescent="0.5">
      <c r="A174">
        <v>1900005783</v>
      </c>
      <c r="B174" s="1">
        <v>43827</v>
      </c>
      <c r="C174" t="s">
        <v>24</v>
      </c>
      <c r="D174" t="s">
        <v>22</v>
      </c>
      <c r="E174" t="s">
        <v>42</v>
      </c>
      <c r="F174">
        <v>6</v>
      </c>
      <c r="G174" t="s">
        <v>104</v>
      </c>
      <c r="H174" t="s">
        <v>28</v>
      </c>
      <c r="I174" t="s">
        <v>651</v>
      </c>
      <c r="J174" t="s">
        <v>503</v>
      </c>
      <c r="K174">
        <v>17140</v>
      </c>
      <c r="L174" s="1">
        <v>43749</v>
      </c>
    </row>
    <row r="175" spans="1:12" x14ac:dyDescent="0.5">
      <c r="A175">
        <v>1900005784</v>
      </c>
      <c r="B175" s="1">
        <v>43827</v>
      </c>
      <c r="C175" t="s">
        <v>24</v>
      </c>
      <c r="D175" t="s">
        <v>22</v>
      </c>
      <c r="E175" t="s">
        <v>42</v>
      </c>
      <c r="F175">
        <v>6</v>
      </c>
      <c r="G175" t="s">
        <v>104</v>
      </c>
      <c r="H175" t="s">
        <v>28</v>
      </c>
      <c r="I175" t="s">
        <v>652</v>
      </c>
      <c r="J175" t="s">
        <v>503</v>
      </c>
      <c r="K175">
        <v>8561</v>
      </c>
      <c r="L175" s="1">
        <v>43783</v>
      </c>
    </row>
    <row r="176" spans="1:12" x14ac:dyDescent="0.5">
      <c r="A176">
        <v>1900005785</v>
      </c>
      <c r="B176" s="1">
        <v>43827</v>
      </c>
      <c r="C176" t="s">
        <v>24</v>
      </c>
      <c r="D176" t="s">
        <v>22</v>
      </c>
      <c r="E176" t="s">
        <v>37</v>
      </c>
      <c r="F176">
        <v>5</v>
      </c>
      <c r="G176" t="s">
        <v>134</v>
      </c>
      <c r="H176" t="s">
        <v>23</v>
      </c>
      <c r="I176" t="s">
        <v>653</v>
      </c>
      <c r="J176">
        <v>43191787</v>
      </c>
      <c r="K176">
        <v>6213</v>
      </c>
      <c r="L176" s="1">
        <v>43649</v>
      </c>
    </row>
    <row r="177" spans="1:12" x14ac:dyDescent="0.5">
      <c r="A177">
        <v>1900005786</v>
      </c>
      <c r="B177" s="1">
        <v>43827</v>
      </c>
      <c r="C177" t="s">
        <v>24</v>
      </c>
      <c r="D177" t="s">
        <v>22</v>
      </c>
      <c r="E177" t="s">
        <v>65</v>
      </c>
      <c r="F177">
        <v>4</v>
      </c>
      <c r="G177" t="s">
        <v>317</v>
      </c>
      <c r="H177" t="s">
        <v>23</v>
      </c>
      <c r="I177" t="s">
        <v>654</v>
      </c>
      <c r="J177" t="s">
        <v>539</v>
      </c>
      <c r="K177">
        <v>8625</v>
      </c>
      <c r="L177" s="1">
        <v>43729</v>
      </c>
    </row>
    <row r="178" spans="1:12" x14ac:dyDescent="0.5">
      <c r="A178">
        <v>1900005787</v>
      </c>
      <c r="B178" s="1">
        <v>43827</v>
      </c>
      <c r="C178" t="s">
        <v>24</v>
      </c>
      <c r="D178" t="s">
        <v>22</v>
      </c>
      <c r="E178" t="s">
        <v>65</v>
      </c>
      <c r="F178">
        <v>4</v>
      </c>
      <c r="G178" t="s">
        <v>317</v>
      </c>
      <c r="H178" t="s">
        <v>23</v>
      </c>
      <c r="I178" t="s">
        <v>655</v>
      </c>
      <c r="J178" t="s">
        <v>537</v>
      </c>
      <c r="K178">
        <v>4579</v>
      </c>
      <c r="L178" s="1">
        <v>43729</v>
      </c>
    </row>
    <row r="179" spans="1:12" x14ac:dyDescent="0.5">
      <c r="A179">
        <v>1900005788</v>
      </c>
      <c r="B179" s="1">
        <v>43827</v>
      </c>
      <c r="C179" t="s">
        <v>24</v>
      </c>
      <c r="D179" t="s">
        <v>22</v>
      </c>
      <c r="E179" t="s">
        <v>65</v>
      </c>
      <c r="F179">
        <v>4</v>
      </c>
      <c r="G179" t="s">
        <v>317</v>
      </c>
      <c r="H179" t="s">
        <v>23</v>
      </c>
      <c r="I179" t="s">
        <v>656</v>
      </c>
      <c r="J179" t="s">
        <v>532</v>
      </c>
      <c r="K179">
        <v>1980</v>
      </c>
      <c r="L179" s="1">
        <v>43630</v>
      </c>
    </row>
    <row r="180" spans="1:12" x14ac:dyDescent="0.5">
      <c r="A180">
        <v>1900005789</v>
      </c>
      <c r="B180" s="1">
        <v>43827</v>
      </c>
      <c r="C180" t="s">
        <v>24</v>
      </c>
      <c r="D180" t="s">
        <v>22</v>
      </c>
      <c r="E180" t="s">
        <v>65</v>
      </c>
      <c r="F180">
        <v>4</v>
      </c>
      <c r="G180" t="s">
        <v>317</v>
      </c>
      <c r="H180" t="s">
        <v>23</v>
      </c>
      <c r="I180" t="s">
        <v>657</v>
      </c>
      <c r="J180" t="s">
        <v>538</v>
      </c>
      <c r="K180">
        <v>3330</v>
      </c>
      <c r="L180" s="1">
        <v>43729</v>
      </c>
    </row>
    <row r="181" spans="1:12" x14ac:dyDescent="0.5">
      <c r="A181">
        <v>1900005910</v>
      </c>
      <c r="B181" s="1">
        <v>43830</v>
      </c>
      <c r="C181" t="s">
        <v>24</v>
      </c>
      <c r="D181" t="s">
        <v>22</v>
      </c>
      <c r="E181" t="s">
        <v>33</v>
      </c>
      <c r="F181">
        <v>2</v>
      </c>
      <c r="G181" t="s">
        <v>27</v>
      </c>
      <c r="H181" t="s">
        <v>66</v>
      </c>
      <c r="I181" t="s">
        <v>658</v>
      </c>
      <c r="J181" t="s">
        <v>441</v>
      </c>
      <c r="K181">
        <v>90282</v>
      </c>
      <c r="L181" s="1">
        <v>43523</v>
      </c>
    </row>
    <row r="182" spans="1:12" x14ac:dyDescent="0.5">
      <c r="A182">
        <v>1900005911</v>
      </c>
      <c r="B182" s="1">
        <v>43830</v>
      </c>
      <c r="C182" t="s">
        <v>24</v>
      </c>
      <c r="D182" t="s">
        <v>22</v>
      </c>
      <c r="E182" t="s">
        <v>33</v>
      </c>
      <c r="F182">
        <v>13</v>
      </c>
      <c r="G182" t="s">
        <v>572</v>
      </c>
      <c r="H182" t="s">
        <v>66</v>
      </c>
      <c r="I182" t="s">
        <v>659</v>
      </c>
      <c r="J182" t="s">
        <v>442</v>
      </c>
      <c r="K182">
        <v>68639</v>
      </c>
      <c r="L182" s="1">
        <v>43599</v>
      </c>
    </row>
    <row r="183" spans="1:12" x14ac:dyDescent="0.5">
      <c r="A183">
        <v>1900005912</v>
      </c>
      <c r="B183" s="1">
        <v>43830</v>
      </c>
      <c r="C183" t="s">
        <v>24</v>
      </c>
      <c r="D183" t="s">
        <v>22</v>
      </c>
      <c r="E183" t="s">
        <v>33</v>
      </c>
      <c r="F183">
        <v>2</v>
      </c>
      <c r="G183" t="s">
        <v>27</v>
      </c>
      <c r="H183" t="s">
        <v>66</v>
      </c>
      <c r="I183" t="s">
        <v>660</v>
      </c>
      <c r="J183" t="s">
        <v>441</v>
      </c>
      <c r="K183">
        <v>90282</v>
      </c>
      <c r="L183" s="1">
        <v>43704</v>
      </c>
    </row>
    <row r="184" spans="1:12" x14ac:dyDescent="0.5">
      <c r="A184">
        <v>1900005913</v>
      </c>
      <c r="B184" s="1">
        <v>43830</v>
      </c>
      <c r="C184" t="s">
        <v>24</v>
      </c>
      <c r="D184" t="s">
        <v>22</v>
      </c>
      <c r="E184" t="s">
        <v>33</v>
      </c>
      <c r="F184">
        <v>2</v>
      </c>
      <c r="G184" t="s">
        <v>27</v>
      </c>
      <c r="H184" t="s">
        <v>66</v>
      </c>
      <c r="I184" t="s">
        <v>661</v>
      </c>
      <c r="J184" t="s">
        <v>441</v>
      </c>
      <c r="K184">
        <v>90282</v>
      </c>
      <c r="L184" s="1">
        <v>43612</v>
      </c>
    </row>
    <row r="185" spans="1:12" x14ac:dyDescent="0.5">
      <c r="A185">
        <v>1900005915</v>
      </c>
      <c r="B185" s="1">
        <v>43830</v>
      </c>
      <c r="C185" t="s">
        <v>24</v>
      </c>
      <c r="D185" t="s">
        <v>22</v>
      </c>
      <c r="E185" t="s">
        <v>33</v>
      </c>
      <c r="F185">
        <v>13</v>
      </c>
      <c r="G185" t="s">
        <v>572</v>
      </c>
      <c r="H185" t="s">
        <v>66</v>
      </c>
      <c r="I185" t="s">
        <v>662</v>
      </c>
      <c r="J185" t="s">
        <v>447</v>
      </c>
      <c r="K185">
        <v>67102</v>
      </c>
      <c r="L185" s="1">
        <v>43551</v>
      </c>
    </row>
    <row r="186" spans="1:12" x14ac:dyDescent="0.5">
      <c r="A186">
        <v>1900005959</v>
      </c>
      <c r="B186" s="1">
        <v>43830</v>
      </c>
      <c r="C186" t="s">
        <v>24</v>
      </c>
      <c r="D186" t="s">
        <v>22</v>
      </c>
      <c r="E186" t="s">
        <v>37</v>
      </c>
      <c r="F186">
        <v>13</v>
      </c>
      <c r="G186" t="s">
        <v>572</v>
      </c>
      <c r="H186" t="s">
        <v>23</v>
      </c>
      <c r="I186" t="s">
        <v>663</v>
      </c>
      <c r="J186" t="s">
        <v>259</v>
      </c>
      <c r="K186">
        <v>125000</v>
      </c>
      <c r="L186" s="1">
        <v>43496</v>
      </c>
    </row>
    <row r="187" spans="1:12" x14ac:dyDescent="0.5">
      <c r="A187">
        <v>1900005960</v>
      </c>
      <c r="B187" s="1">
        <v>43830</v>
      </c>
      <c r="C187" t="s">
        <v>24</v>
      </c>
      <c r="D187" t="s">
        <v>22</v>
      </c>
      <c r="E187" t="s">
        <v>144</v>
      </c>
      <c r="F187">
        <v>1</v>
      </c>
      <c r="G187" t="s">
        <v>21</v>
      </c>
      <c r="H187" t="s">
        <v>23</v>
      </c>
      <c r="I187" t="s">
        <v>664</v>
      </c>
      <c r="J187" t="s">
        <v>665</v>
      </c>
      <c r="K187">
        <v>115781</v>
      </c>
      <c r="L187" s="1">
        <v>43674</v>
      </c>
    </row>
    <row r="188" spans="1:12" x14ac:dyDescent="0.5">
      <c r="A188">
        <v>1900005961</v>
      </c>
      <c r="B188" s="1">
        <v>43830</v>
      </c>
      <c r="C188" t="s">
        <v>24</v>
      </c>
      <c r="D188" t="s">
        <v>22</v>
      </c>
      <c r="E188" t="s">
        <v>37</v>
      </c>
      <c r="F188">
        <v>13</v>
      </c>
      <c r="G188" t="s">
        <v>572</v>
      </c>
      <c r="H188" t="s">
        <v>23</v>
      </c>
      <c r="I188" t="s">
        <v>666</v>
      </c>
      <c r="J188" t="s">
        <v>148</v>
      </c>
      <c r="K188">
        <v>137500</v>
      </c>
      <c r="L188" s="1">
        <v>43466</v>
      </c>
    </row>
    <row r="189" spans="1:12" x14ac:dyDescent="0.5">
      <c r="A189">
        <v>1900005962</v>
      </c>
      <c r="B189" s="1">
        <v>43830</v>
      </c>
      <c r="C189" t="s">
        <v>24</v>
      </c>
      <c r="D189" t="s">
        <v>22</v>
      </c>
      <c r="E189" t="s">
        <v>33</v>
      </c>
      <c r="F189">
        <v>2</v>
      </c>
      <c r="G189" t="s">
        <v>27</v>
      </c>
      <c r="H189" t="s">
        <v>66</v>
      </c>
      <c r="I189" t="s">
        <v>667</v>
      </c>
      <c r="J189" t="s">
        <v>448</v>
      </c>
      <c r="K189">
        <v>208093</v>
      </c>
      <c r="L189" s="1">
        <v>43549</v>
      </c>
    </row>
    <row r="190" spans="1:12" x14ac:dyDescent="0.5">
      <c r="A190">
        <v>1900005964</v>
      </c>
      <c r="B190" s="1">
        <v>43830</v>
      </c>
      <c r="C190" t="s">
        <v>24</v>
      </c>
      <c r="D190" t="s">
        <v>22</v>
      </c>
      <c r="E190" t="s">
        <v>33</v>
      </c>
      <c r="F190">
        <v>2</v>
      </c>
      <c r="G190" t="s">
        <v>27</v>
      </c>
      <c r="H190" t="s">
        <v>66</v>
      </c>
      <c r="I190" t="s">
        <v>668</v>
      </c>
      <c r="J190" t="s">
        <v>448</v>
      </c>
      <c r="K190">
        <v>153332</v>
      </c>
      <c r="L190" s="1">
        <v>43653</v>
      </c>
    </row>
    <row r="191" spans="1:12" x14ac:dyDescent="0.5">
      <c r="A191">
        <v>1900005965</v>
      </c>
      <c r="B191" s="1">
        <v>43830</v>
      </c>
      <c r="C191" t="s">
        <v>24</v>
      </c>
      <c r="D191" t="s">
        <v>22</v>
      </c>
      <c r="E191" t="s">
        <v>37</v>
      </c>
      <c r="F191">
        <v>13</v>
      </c>
      <c r="G191" t="s">
        <v>572</v>
      </c>
      <c r="H191" t="s">
        <v>23</v>
      </c>
      <c r="I191" t="s">
        <v>669</v>
      </c>
      <c r="J191" t="s">
        <v>176</v>
      </c>
      <c r="K191">
        <v>131250</v>
      </c>
      <c r="L191" s="1">
        <v>43608</v>
      </c>
    </row>
    <row r="192" spans="1:12" x14ac:dyDescent="0.5">
      <c r="A192">
        <v>2000001072</v>
      </c>
      <c r="B192" s="1">
        <v>43833</v>
      </c>
      <c r="C192" t="s">
        <v>24</v>
      </c>
      <c r="D192" t="s">
        <v>22</v>
      </c>
      <c r="E192" t="s">
        <v>20</v>
      </c>
      <c r="F192">
        <v>5</v>
      </c>
      <c r="G192" t="s">
        <v>134</v>
      </c>
      <c r="H192" t="s">
        <v>23</v>
      </c>
      <c r="I192" t="s">
        <v>670</v>
      </c>
      <c r="J192">
        <v>2.4142025629033999E+18</v>
      </c>
      <c r="K192">
        <v>56100</v>
      </c>
      <c r="L192" s="1">
        <v>43532</v>
      </c>
    </row>
    <row r="193" spans="1:12" x14ac:dyDescent="0.5">
      <c r="A193">
        <v>2000001076</v>
      </c>
      <c r="B193" s="1">
        <v>43833</v>
      </c>
      <c r="C193" t="s">
        <v>24</v>
      </c>
      <c r="D193" t="s">
        <v>22</v>
      </c>
      <c r="E193" t="s">
        <v>20</v>
      </c>
      <c r="F193">
        <v>13</v>
      </c>
      <c r="G193" t="s">
        <v>572</v>
      </c>
      <c r="H193" t="s">
        <v>23</v>
      </c>
      <c r="I193" t="s">
        <v>671</v>
      </c>
      <c r="J193" t="s">
        <v>263</v>
      </c>
      <c r="K193">
        <v>50333</v>
      </c>
      <c r="L193" s="1">
        <v>43525</v>
      </c>
    </row>
    <row r="194" spans="1:12" x14ac:dyDescent="0.5">
      <c r="A194">
        <v>2000001082</v>
      </c>
      <c r="B194" s="1">
        <v>43833</v>
      </c>
      <c r="C194" t="s">
        <v>24</v>
      </c>
      <c r="D194" t="s">
        <v>22</v>
      </c>
      <c r="E194" t="s">
        <v>37</v>
      </c>
      <c r="F194">
        <v>13</v>
      </c>
      <c r="G194" t="s">
        <v>572</v>
      </c>
      <c r="H194" t="s">
        <v>23</v>
      </c>
      <c r="I194" t="s">
        <v>672</v>
      </c>
      <c r="J194">
        <v>41046110</v>
      </c>
      <c r="K194">
        <v>74250</v>
      </c>
      <c r="L194" s="1">
        <v>43564</v>
      </c>
    </row>
    <row r="195" spans="1:12" x14ac:dyDescent="0.5">
      <c r="A195">
        <v>2000001083</v>
      </c>
      <c r="B195" s="1">
        <v>43833</v>
      </c>
      <c r="C195" t="s">
        <v>24</v>
      </c>
      <c r="D195" t="s">
        <v>22</v>
      </c>
      <c r="E195" t="s">
        <v>42</v>
      </c>
      <c r="F195">
        <v>5</v>
      </c>
      <c r="G195" t="s">
        <v>134</v>
      </c>
      <c r="H195" t="s">
        <v>23</v>
      </c>
      <c r="I195" t="s">
        <v>673</v>
      </c>
      <c r="J195" t="s">
        <v>384</v>
      </c>
      <c r="K195">
        <v>48929</v>
      </c>
      <c r="L195" s="1">
        <v>43779</v>
      </c>
    </row>
    <row r="196" spans="1:12" x14ac:dyDescent="0.5">
      <c r="A196">
        <v>2000001086</v>
      </c>
      <c r="B196" s="1">
        <v>43833</v>
      </c>
      <c r="C196" t="s">
        <v>24</v>
      </c>
      <c r="D196" t="s">
        <v>22</v>
      </c>
      <c r="E196" t="s">
        <v>65</v>
      </c>
      <c r="F196">
        <v>1</v>
      </c>
      <c r="G196" t="s">
        <v>21</v>
      </c>
      <c r="H196" t="s">
        <v>66</v>
      </c>
      <c r="I196" t="s">
        <v>674</v>
      </c>
      <c r="J196">
        <v>1.11200441808E+19</v>
      </c>
      <c r="K196">
        <v>49401</v>
      </c>
      <c r="L196" s="1">
        <v>43468</v>
      </c>
    </row>
    <row r="197" spans="1:12" x14ac:dyDescent="0.5">
      <c r="A197">
        <v>2000001563</v>
      </c>
      <c r="B197" s="1">
        <v>43846</v>
      </c>
      <c r="C197" t="s">
        <v>24</v>
      </c>
      <c r="D197" t="s">
        <v>22</v>
      </c>
      <c r="E197" t="s">
        <v>20</v>
      </c>
      <c r="F197">
        <v>5</v>
      </c>
      <c r="G197" t="s">
        <v>134</v>
      </c>
      <c r="H197" t="s">
        <v>28</v>
      </c>
      <c r="I197" t="s">
        <v>675</v>
      </c>
      <c r="J197" t="s">
        <v>495</v>
      </c>
      <c r="K197">
        <v>9075</v>
      </c>
      <c r="L197" s="1">
        <v>43477</v>
      </c>
    </row>
    <row r="198" spans="1:12" x14ac:dyDescent="0.5">
      <c r="A198">
        <v>2000001567</v>
      </c>
      <c r="B198" s="1">
        <v>43846</v>
      </c>
      <c r="C198" t="s">
        <v>24</v>
      </c>
      <c r="D198" t="s">
        <v>22</v>
      </c>
      <c r="E198" t="s">
        <v>33</v>
      </c>
      <c r="F198">
        <v>13</v>
      </c>
      <c r="G198" t="s">
        <v>572</v>
      </c>
      <c r="H198" t="s">
        <v>66</v>
      </c>
      <c r="I198" t="s">
        <v>676</v>
      </c>
      <c r="J198" t="s">
        <v>346</v>
      </c>
      <c r="K198">
        <v>24072</v>
      </c>
      <c r="L198" s="1">
        <v>43537</v>
      </c>
    </row>
    <row r="199" spans="1:12" x14ac:dyDescent="0.5">
      <c r="A199">
        <v>2000001570</v>
      </c>
      <c r="B199" s="1">
        <v>43846</v>
      </c>
      <c r="C199" t="s">
        <v>24</v>
      </c>
      <c r="D199" t="s">
        <v>22</v>
      </c>
      <c r="E199" t="s">
        <v>42</v>
      </c>
      <c r="F199">
        <v>6</v>
      </c>
      <c r="G199" t="s">
        <v>104</v>
      </c>
      <c r="H199" t="s">
        <v>23</v>
      </c>
      <c r="I199" t="s">
        <v>677</v>
      </c>
      <c r="J199" t="s">
        <v>549</v>
      </c>
      <c r="K199">
        <v>5550</v>
      </c>
      <c r="L199" s="1">
        <v>43469</v>
      </c>
    </row>
    <row r="200" spans="1:12" x14ac:dyDescent="0.5">
      <c r="A200">
        <v>2000001575</v>
      </c>
      <c r="B200" s="1">
        <v>43846</v>
      </c>
      <c r="C200" t="s">
        <v>24</v>
      </c>
      <c r="D200" t="s">
        <v>22</v>
      </c>
      <c r="E200" t="s">
        <v>54</v>
      </c>
      <c r="F200">
        <v>13</v>
      </c>
      <c r="G200" t="s">
        <v>572</v>
      </c>
      <c r="H200" t="s">
        <v>66</v>
      </c>
      <c r="I200" t="s">
        <v>678</v>
      </c>
      <c r="J200" t="s">
        <v>468</v>
      </c>
      <c r="K200">
        <v>10938</v>
      </c>
      <c r="L200" s="1">
        <v>43628</v>
      </c>
    </row>
    <row r="201" spans="1:12" x14ac:dyDescent="0.5">
      <c r="A201">
        <v>2000001579</v>
      </c>
      <c r="B201" s="1">
        <v>43846</v>
      </c>
      <c r="C201" t="s">
        <v>24</v>
      </c>
      <c r="D201" t="s">
        <v>22</v>
      </c>
      <c r="E201" t="s">
        <v>483</v>
      </c>
      <c r="F201">
        <v>3</v>
      </c>
      <c r="G201" t="s">
        <v>64</v>
      </c>
      <c r="H201" t="s">
        <v>66</v>
      </c>
      <c r="I201" t="s">
        <v>679</v>
      </c>
      <c r="J201">
        <v>2280038722</v>
      </c>
      <c r="K201">
        <v>2789</v>
      </c>
      <c r="L201" s="1">
        <v>43661</v>
      </c>
    </row>
    <row r="202" spans="1:12" x14ac:dyDescent="0.5">
      <c r="A202">
        <v>2000001583</v>
      </c>
      <c r="B202" s="1">
        <v>43846</v>
      </c>
      <c r="C202" t="s">
        <v>24</v>
      </c>
      <c r="D202" t="s">
        <v>22</v>
      </c>
      <c r="E202" t="s">
        <v>20</v>
      </c>
      <c r="F202">
        <v>5</v>
      </c>
      <c r="G202" t="s">
        <v>134</v>
      </c>
      <c r="H202" t="s">
        <v>23</v>
      </c>
      <c r="I202" t="s">
        <v>680</v>
      </c>
      <c r="J202">
        <v>2.4142025629033999E+18</v>
      </c>
      <c r="K202">
        <v>14025</v>
      </c>
      <c r="L202" s="1">
        <v>43760</v>
      </c>
    </row>
    <row r="203" spans="1:12" x14ac:dyDescent="0.5">
      <c r="A203">
        <v>2000001589</v>
      </c>
      <c r="B203" s="1">
        <v>43846</v>
      </c>
      <c r="C203" t="s">
        <v>24</v>
      </c>
      <c r="D203" t="s">
        <v>22</v>
      </c>
      <c r="E203" t="s">
        <v>65</v>
      </c>
      <c r="F203">
        <v>4</v>
      </c>
      <c r="G203" t="s">
        <v>317</v>
      </c>
      <c r="H203" t="s">
        <v>23</v>
      </c>
      <c r="I203" t="s">
        <v>681</v>
      </c>
      <c r="J203" t="s">
        <v>242</v>
      </c>
      <c r="K203">
        <v>1112</v>
      </c>
      <c r="L203" s="1">
        <v>43488</v>
      </c>
    </row>
    <row r="204" spans="1:12" x14ac:dyDescent="0.5">
      <c r="A204">
        <v>2000001598</v>
      </c>
      <c r="B204" s="1">
        <v>43846</v>
      </c>
      <c r="C204" t="s">
        <v>24</v>
      </c>
      <c r="D204" t="s">
        <v>22</v>
      </c>
      <c r="E204" t="s">
        <v>42</v>
      </c>
      <c r="F204">
        <v>6</v>
      </c>
      <c r="G204" t="s">
        <v>104</v>
      </c>
      <c r="H204" t="s">
        <v>23</v>
      </c>
      <c r="I204" t="s">
        <v>682</v>
      </c>
      <c r="J204">
        <v>2.9992015408021002E+18</v>
      </c>
      <c r="K204">
        <v>4302</v>
      </c>
      <c r="L204" s="1">
        <v>43770</v>
      </c>
    </row>
    <row r="205" spans="1:12" x14ac:dyDescent="0.5">
      <c r="A205">
        <v>2000001604</v>
      </c>
      <c r="B205" s="1">
        <v>43846</v>
      </c>
      <c r="C205" t="s">
        <v>24</v>
      </c>
      <c r="D205" t="s">
        <v>22</v>
      </c>
      <c r="E205" t="s">
        <v>37</v>
      </c>
      <c r="F205">
        <v>13</v>
      </c>
      <c r="G205" t="s">
        <v>572</v>
      </c>
      <c r="H205" t="s">
        <v>66</v>
      </c>
      <c r="I205" t="s">
        <v>683</v>
      </c>
      <c r="J205" t="s">
        <v>271</v>
      </c>
      <c r="K205">
        <v>21875</v>
      </c>
      <c r="L205" s="1">
        <v>43507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DD3DC8-DD04-4721-A788-5DC8A02BC3DA}">
  <dimension ref="A1:E35"/>
  <sheetViews>
    <sheetView topLeftCell="A2" workbookViewId="0">
      <selection activeCell="B20" sqref="B20"/>
    </sheetView>
  </sheetViews>
  <sheetFormatPr defaultRowHeight="18" x14ac:dyDescent="0.5"/>
  <cols>
    <col min="1" max="1" width="18.109375" bestFit="1" customWidth="1"/>
    <col min="2" max="2" width="21.109375" bestFit="1" customWidth="1"/>
    <col min="3" max="3" width="16.33203125" bestFit="1" customWidth="1"/>
    <col min="4" max="4" width="19.5546875" bestFit="1" customWidth="1"/>
    <col min="5" max="5" width="16.33203125" bestFit="1" customWidth="1"/>
  </cols>
  <sheetData>
    <row r="1" spans="1:5" x14ac:dyDescent="0.5">
      <c r="A1" t="s">
        <v>6</v>
      </c>
      <c r="B1" t="s">
        <v>558</v>
      </c>
      <c r="C1" t="s">
        <v>8</v>
      </c>
      <c r="D1" t="s">
        <v>684</v>
      </c>
      <c r="E1" t="s">
        <v>685</v>
      </c>
    </row>
    <row r="2" spans="1:5" x14ac:dyDescent="0.5">
      <c r="A2">
        <v>2</v>
      </c>
      <c r="B2" t="s">
        <v>27</v>
      </c>
      <c r="C2" t="s">
        <v>22</v>
      </c>
      <c r="D2" t="s">
        <v>579</v>
      </c>
      <c r="E2" s="1">
        <v>43755</v>
      </c>
    </row>
    <row r="3" spans="1:5" x14ac:dyDescent="0.5">
      <c r="A3">
        <v>2</v>
      </c>
      <c r="B3" t="s">
        <v>27</v>
      </c>
      <c r="C3" t="s">
        <v>22</v>
      </c>
      <c r="D3" t="s">
        <v>580</v>
      </c>
      <c r="E3" s="1">
        <v>43755</v>
      </c>
    </row>
    <row r="4" spans="1:5" x14ac:dyDescent="0.5">
      <c r="A4">
        <v>2</v>
      </c>
      <c r="B4" t="s">
        <v>27</v>
      </c>
      <c r="C4" t="s">
        <v>22</v>
      </c>
      <c r="D4" t="s">
        <v>581</v>
      </c>
      <c r="E4" s="1">
        <v>43823</v>
      </c>
    </row>
    <row r="5" spans="1:5" x14ac:dyDescent="0.5">
      <c r="A5">
        <v>2</v>
      </c>
      <c r="B5" t="s">
        <v>27</v>
      </c>
      <c r="C5" t="s">
        <v>22</v>
      </c>
      <c r="D5" t="s">
        <v>582</v>
      </c>
      <c r="E5" s="1">
        <v>43833</v>
      </c>
    </row>
    <row r="6" spans="1:5" x14ac:dyDescent="0.5">
      <c r="A6">
        <v>2</v>
      </c>
      <c r="B6" t="s">
        <v>27</v>
      </c>
      <c r="C6" t="s">
        <v>22</v>
      </c>
      <c r="D6" t="s">
        <v>583</v>
      </c>
      <c r="E6" s="1">
        <v>43838</v>
      </c>
    </row>
    <row r="7" spans="1:5" x14ac:dyDescent="0.5">
      <c r="A7">
        <v>2</v>
      </c>
      <c r="B7" t="s">
        <v>27</v>
      </c>
      <c r="C7" t="s">
        <v>22</v>
      </c>
      <c r="D7" t="s">
        <v>584</v>
      </c>
      <c r="E7" s="1">
        <v>43838</v>
      </c>
    </row>
    <row r="8" spans="1:5" x14ac:dyDescent="0.5">
      <c r="A8">
        <v>2</v>
      </c>
      <c r="B8" t="s">
        <v>27</v>
      </c>
      <c r="C8" t="s">
        <v>22</v>
      </c>
      <c r="D8" t="s">
        <v>585</v>
      </c>
      <c r="E8" s="1">
        <v>43839</v>
      </c>
    </row>
    <row r="9" spans="1:5" x14ac:dyDescent="0.5">
      <c r="A9">
        <v>1</v>
      </c>
      <c r="B9" t="s">
        <v>21</v>
      </c>
      <c r="C9" t="s">
        <v>22</v>
      </c>
      <c r="D9" t="s">
        <v>586</v>
      </c>
      <c r="E9" s="1">
        <v>43832</v>
      </c>
    </row>
    <row r="10" spans="1:5" x14ac:dyDescent="0.5">
      <c r="A10">
        <v>1</v>
      </c>
      <c r="B10" t="s">
        <v>21</v>
      </c>
      <c r="C10" t="s">
        <v>22</v>
      </c>
      <c r="D10" t="s">
        <v>587</v>
      </c>
      <c r="E10" s="1">
        <v>43833</v>
      </c>
    </row>
    <row r="11" spans="1:5" x14ac:dyDescent="0.5">
      <c r="A11">
        <v>1</v>
      </c>
      <c r="B11" t="s">
        <v>21</v>
      </c>
      <c r="C11" t="s">
        <v>22</v>
      </c>
      <c r="D11" t="s">
        <v>588</v>
      </c>
      <c r="E11" s="1">
        <v>43836</v>
      </c>
    </row>
    <row r="12" spans="1:5" x14ac:dyDescent="0.5">
      <c r="A12">
        <v>1</v>
      </c>
      <c r="B12" t="s">
        <v>21</v>
      </c>
      <c r="C12" t="s">
        <v>22</v>
      </c>
      <c r="D12" t="s">
        <v>589</v>
      </c>
      <c r="E12" s="1">
        <v>43837</v>
      </c>
    </row>
    <row r="13" spans="1:5" x14ac:dyDescent="0.5">
      <c r="A13">
        <v>1</v>
      </c>
      <c r="B13" t="s">
        <v>21</v>
      </c>
      <c r="C13" t="s">
        <v>22</v>
      </c>
      <c r="D13" t="s">
        <v>590</v>
      </c>
      <c r="E13" s="1">
        <v>43838</v>
      </c>
    </row>
    <row r="14" spans="1:5" x14ac:dyDescent="0.5">
      <c r="A14">
        <v>3</v>
      </c>
      <c r="B14" t="s">
        <v>64</v>
      </c>
      <c r="C14" t="s">
        <v>22</v>
      </c>
      <c r="D14" t="s">
        <v>591</v>
      </c>
      <c r="E14" s="1">
        <v>43843</v>
      </c>
    </row>
    <row r="15" spans="1:5" x14ac:dyDescent="0.5">
      <c r="A15">
        <v>3</v>
      </c>
      <c r="B15" t="s">
        <v>64</v>
      </c>
      <c r="C15" t="s">
        <v>22</v>
      </c>
      <c r="D15" t="s">
        <v>592</v>
      </c>
      <c r="E15" s="1">
        <v>43843</v>
      </c>
    </row>
    <row r="16" spans="1:5" x14ac:dyDescent="0.5">
      <c r="A16">
        <v>3</v>
      </c>
      <c r="B16" t="s">
        <v>64</v>
      </c>
      <c r="C16" t="s">
        <v>22</v>
      </c>
      <c r="D16" t="s">
        <v>593</v>
      </c>
      <c r="E16" s="1">
        <v>43839</v>
      </c>
    </row>
    <row r="17" spans="1:5" x14ac:dyDescent="0.5">
      <c r="A17">
        <v>3</v>
      </c>
      <c r="B17" t="s">
        <v>64</v>
      </c>
      <c r="C17" t="s">
        <v>22</v>
      </c>
      <c r="D17" t="s">
        <v>594</v>
      </c>
      <c r="E17" s="1">
        <v>43840</v>
      </c>
    </row>
    <row r="18" spans="1:5" x14ac:dyDescent="0.5">
      <c r="A18">
        <v>6</v>
      </c>
      <c r="B18" t="s">
        <v>104</v>
      </c>
      <c r="C18" t="s">
        <v>22</v>
      </c>
      <c r="D18" t="s">
        <v>595</v>
      </c>
      <c r="E18" s="1">
        <v>43833</v>
      </c>
    </row>
    <row r="19" spans="1:5" x14ac:dyDescent="0.5">
      <c r="A19">
        <v>6</v>
      </c>
      <c r="B19" t="s">
        <v>104</v>
      </c>
      <c r="C19" t="s">
        <v>22</v>
      </c>
      <c r="D19" t="s">
        <v>596</v>
      </c>
      <c r="E19" s="1">
        <v>43838</v>
      </c>
    </row>
    <row r="20" spans="1:5" x14ac:dyDescent="0.5">
      <c r="A20">
        <v>6</v>
      </c>
      <c r="B20" t="s">
        <v>104</v>
      </c>
      <c r="C20" t="s">
        <v>22</v>
      </c>
      <c r="D20" t="s">
        <v>597</v>
      </c>
      <c r="E20" s="1">
        <v>43843</v>
      </c>
    </row>
    <row r="21" spans="1:5" x14ac:dyDescent="0.5">
      <c r="A21">
        <v>6</v>
      </c>
      <c r="B21" t="s">
        <v>104</v>
      </c>
      <c r="C21" t="s">
        <v>22</v>
      </c>
      <c r="D21" t="s">
        <v>598</v>
      </c>
      <c r="E21" s="1">
        <v>43839</v>
      </c>
    </row>
    <row r="22" spans="1:5" x14ac:dyDescent="0.5">
      <c r="A22">
        <v>4</v>
      </c>
      <c r="B22" t="s">
        <v>317</v>
      </c>
      <c r="C22" t="s">
        <v>22</v>
      </c>
      <c r="D22" t="s">
        <v>599</v>
      </c>
      <c r="E22" s="1">
        <v>43836</v>
      </c>
    </row>
    <row r="23" spans="1:5" x14ac:dyDescent="0.5">
      <c r="A23">
        <v>4</v>
      </c>
      <c r="B23" t="s">
        <v>317</v>
      </c>
      <c r="C23" t="s">
        <v>22</v>
      </c>
      <c r="D23" t="s">
        <v>600</v>
      </c>
      <c r="E23" s="1">
        <v>43850</v>
      </c>
    </row>
    <row r="24" spans="1:5" x14ac:dyDescent="0.5">
      <c r="A24">
        <v>4</v>
      </c>
      <c r="B24" t="s">
        <v>317</v>
      </c>
      <c r="C24" t="s">
        <v>22</v>
      </c>
      <c r="D24" t="s">
        <v>601</v>
      </c>
      <c r="E24" s="1">
        <v>43850</v>
      </c>
    </row>
    <row r="25" spans="1:5" x14ac:dyDescent="0.5">
      <c r="A25">
        <v>12</v>
      </c>
      <c r="B25" t="s">
        <v>83</v>
      </c>
      <c r="C25" t="s">
        <v>22</v>
      </c>
      <c r="D25" t="s">
        <v>602</v>
      </c>
      <c r="E25" s="1">
        <v>43851</v>
      </c>
    </row>
    <row r="26" spans="1:5" x14ac:dyDescent="0.5">
      <c r="A26">
        <v>12</v>
      </c>
      <c r="B26" t="s">
        <v>83</v>
      </c>
      <c r="C26" t="s">
        <v>22</v>
      </c>
      <c r="D26" t="s">
        <v>603</v>
      </c>
      <c r="E26" s="1">
        <v>43851</v>
      </c>
    </row>
    <row r="27" spans="1:5" x14ac:dyDescent="0.5">
      <c r="A27">
        <v>12</v>
      </c>
      <c r="B27" t="s">
        <v>83</v>
      </c>
      <c r="C27" t="s">
        <v>22</v>
      </c>
      <c r="D27" t="s">
        <v>604</v>
      </c>
      <c r="E27" s="1">
        <v>43851</v>
      </c>
    </row>
    <row r="28" spans="1:5" x14ac:dyDescent="0.5">
      <c r="A28">
        <v>12</v>
      </c>
      <c r="B28" t="s">
        <v>83</v>
      </c>
      <c r="C28" t="s">
        <v>22</v>
      </c>
      <c r="D28" t="s">
        <v>605</v>
      </c>
      <c r="E28" s="1">
        <v>43852</v>
      </c>
    </row>
    <row r="29" spans="1:5" x14ac:dyDescent="0.5">
      <c r="A29">
        <v>9</v>
      </c>
      <c r="B29" t="s">
        <v>60</v>
      </c>
      <c r="C29" t="s">
        <v>22</v>
      </c>
      <c r="D29" t="s">
        <v>606</v>
      </c>
      <c r="E29" s="1">
        <v>43843</v>
      </c>
    </row>
    <row r="30" spans="1:5" x14ac:dyDescent="0.5">
      <c r="A30">
        <v>9</v>
      </c>
      <c r="B30" t="s">
        <v>60</v>
      </c>
      <c r="C30" t="s">
        <v>22</v>
      </c>
      <c r="D30" t="s">
        <v>607</v>
      </c>
      <c r="E30" s="1">
        <v>43839</v>
      </c>
    </row>
    <row r="31" spans="1:5" x14ac:dyDescent="0.5">
      <c r="A31">
        <v>9</v>
      </c>
      <c r="B31" t="s">
        <v>60</v>
      </c>
      <c r="C31" t="s">
        <v>22</v>
      </c>
      <c r="D31" t="s">
        <v>608</v>
      </c>
      <c r="E31" s="1">
        <v>43851</v>
      </c>
    </row>
    <row r="32" spans="1:5" x14ac:dyDescent="0.5">
      <c r="A32">
        <v>11</v>
      </c>
      <c r="B32" t="s">
        <v>138</v>
      </c>
      <c r="C32" t="s">
        <v>22</v>
      </c>
      <c r="D32" t="s">
        <v>609</v>
      </c>
      <c r="E32" s="1">
        <v>43852</v>
      </c>
    </row>
    <row r="33" spans="1:5" x14ac:dyDescent="0.5">
      <c r="A33">
        <v>11</v>
      </c>
      <c r="B33" t="s">
        <v>138</v>
      </c>
      <c r="C33" t="s">
        <v>22</v>
      </c>
      <c r="D33" t="s">
        <v>610</v>
      </c>
      <c r="E33" s="1">
        <v>43850</v>
      </c>
    </row>
    <row r="34" spans="1:5" x14ac:dyDescent="0.5">
      <c r="A34">
        <v>10</v>
      </c>
      <c r="B34" t="s">
        <v>41</v>
      </c>
      <c r="C34" t="s">
        <v>22</v>
      </c>
      <c r="D34" t="s">
        <v>611</v>
      </c>
      <c r="E34" s="1">
        <v>43852</v>
      </c>
    </row>
    <row r="35" spans="1:5" x14ac:dyDescent="0.5">
      <c r="A35">
        <v>10</v>
      </c>
      <c r="B35" t="s">
        <v>41</v>
      </c>
      <c r="C35" t="s">
        <v>22</v>
      </c>
      <c r="D35" t="s">
        <v>612</v>
      </c>
      <c r="E35" s="1">
        <v>43843</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DCBC42-0308-447C-A73D-DAABC3DBA9D1}">
  <dimension ref="A1:M57"/>
  <sheetViews>
    <sheetView topLeftCell="A46" workbookViewId="0">
      <selection activeCell="I57" sqref="I57"/>
    </sheetView>
  </sheetViews>
  <sheetFormatPr defaultRowHeight="18" x14ac:dyDescent="0.5"/>
  <cols>
    <col min="1" max="1" width="28" bestFit="1" customWidth="1"/>
    <col min="2" max="2" width="17.44140625" bestFit="1" customWidth="1"/>
    <col min="3" max="3" width="17.77734375" bestFit="1" customWidth="1"/>
    <col min="4" max="4" width="21.109375" bestFit="1" customWidth="1"/>
    <col min="5" max="5" width="20.6640625" bestFit="1" customWidth="1"/>
    <col min="6" max="6" width="19.5546875" bestFit="1" customWidth="1"/>
    <col min="7" max="7" width="15.44140625" customWidth="1"/>
    <col min="8" max="8" width="17.88671875" bestFit="1" customWidth="1"/>
    <col min="9" max="9" width="21" customWidth="1"/>
    <col min="10" max="10" width="39.77734375" bestFit="1" customWidth="1"/>
    <col min="11" max="11" width="17.5546875" bestFit="1" customWidth="1"/>
    <col min="12" max="12" width="30.77734375" bestFit="1" customWidth="1"/>
    <col min="13" max="13" width="49" bestFit="1" customWidth="1"/>
  </cols>
  <sheetData>
    <row r="1" spans="1:13" x14ac:dyDescent="0.5">
      <c r="A1" t="s">
        <v>686</v>
      </c>
      <c r="B1" t="s">
        <v>687</v>
      </c>
      <c r="C1" t="s">
        <v>688</v>
      </c>
      <c r="D1" t="s">
        <v>558</v>
      </c>
      <c r="E1" t="s">
        <v>689</v>
      </c>
      <c r="F1" t="s">
        <v>690</v>
      </c>
      <c r="G1" t="s">
        <v>691</v>
      </c>
      <c r="H1" t="s">
        <v>692</v>
      </c>
      <c r="I1" t="s">
        <v>693</v>
      </c>
      <c r="J1" t="s">
        <v>694</v>
      </c>
      <c r="K1" t="s">
        <v>5</v>
      </c>
      <c r="L1" t="s">
        <v>695</v>
      </c>
      <c r="M1" t="s">
        <v>696</v>
      </c>
    </row>
    <row r="2" spans="1:13" x14ac:dyDescent="0.5">
      <c r="A2" t="s">
        <v>697</v>
      </c>
      <c r="B2" t="s">
        <v>698</v>
      </c>
      <c r="C2">
        <v>3</v>
      </c>
      <c r="D2" t="s">
        <v>64</v>
      </c>
      <c r="E2">
        <v>8000000</v>
      </c>
      <c r="F2">
        <v>400000</v>
      </c>
      <c r="G2" s="1">
        <v>43782</v>
      </c>
      <c r="H2" t="s">
        <v>699</v>
      </c>
      <c r="I2" t="s">
        <v>22</v>
      </c>
      <c r="J2" t="s">
        <v>42</v>
      </c>
      <c r="K2" t="s">
        <v>40</v>
      </c>
      <c r="L2" t="s">
        <v>700</v>
      </c>
      <c r="M2" t="s">
        <v>701</v>
      </c>
    </row>
    <row r="3" spans="1:13" x14ac:dyDescent="0.5">
      <c r="A3" t="s">
        <v>702</v>
      </c>
      <c r="B3" t="s">
        <v>703</v>
      </c>
      <c r="C3">
        <v>1</v>
      </c>
      <c r="D3" t="s">
        <v>21</v>
      </c>
      <c r="E3">
        <v>200000</v>
      </c>
      <c r="F3">
        <v>30000</v>
      </c>
      <c r="G3" s="1">
        <v>43921</v>
      </c>
      <c r="H3" t="s">
        <v>699</v>
      </c>
      <c r="I3" t="s">
        <v>22</v>
      </c>
      <c r="J3" t="s">
        <v>42</v>
      </c>
      <c r="K3" t="s">
        <v>40</v>
      </c>
      <c r="L3" t="s">
        <v>700</v>
      </c>
      <c r="M3" t="s">
        <v>704</v>
      </c>
    </row>
    <row r="4" spans="1:13" x14ac:dyDescent="0.5">
      <c r="A4" t="s">
        <v>705</v>
      </c>
      <c r="B4" t="s">
        <v>706</v>
      </c>
      <c r="C4">
        <v>1</v>
      </c>
      <c r="D4" t="s">
        <v>21</v>
      </c>
      <c r="E4">
        <v>0</v>
      </c>
      <c r="F4">
        <v>100000</v>
      </c>
      <c r="G4" s="1">
        <v>44012</v>
      </c>
      <c r="H4" t="s">
        <v>699</v>
      </c>
      <c r="I4" t="s">
        <v>22</v>
      </c>
      <c r="J4" t="s">
        <v>20</v>
      </c>
      <c r="K4" t="s">
        <v>20</v>
      </c>
      <c r="L4" t="s">
        <v>707</v>
      </c>
      <c r="M4" t="s">
        <v>708</v>
      </c>
    </row>
    <row r="5" spans="1:13" x14ac:dyDescent="0.5">
      <c r="A5" t="s">
        <v>709</v>
      </c>
      <c r="B5" t="s">
        <v>710</v>
      </c>
      <c r="C5">
        <v>1</v>
      </c>
      <c r="D5" t="s">
        <v>21</v>
      </c>
      <c r="E5">
        <v>0</v>
      </c>
      <c r="F5">
        <v>100000</v>
      </c>
      <c r="G5" s="1">
        <v>43921</v>
      </c>
      <c r="H5" t="s">
        <v>699</v>
      </c>
      <c r="I5" t="s">
        <v>22</v>
      </c>
      <c r="J5" t="s">
        <v>20</v>
      </c>
      <c r="K5" t="s">
        <v>20</v>
      </c>
      <c r="L5" t="s">
        <v>707</v>
      </c>
      <c r="M5" t="s">
        <v>708</v>
      </c>
    </row>
    <row r="6" spans="1:13" x14ac:dyDescent="0.5">
      <c r="A6" t="s">
        <v>711</v>
      </c>
      <c r="B6" t="s">
        <v>712</v>
      </c>
      <c r="C6">
        <v>1</v>
      </c>
      <c r="D6" t="s">
        <v>21</v>
      </c>
      <c r="E6">
        <v>1200000</v>
      </c>
      <c r="F6">
        <v>100000</v>
      </c>
      <c r="G6" s="1">
        <v>43921</v>
      </c>
      <c r="H6" t="s">
        <v>699</v>
      </c>
      <c r="I6" t="s">
        <v>22</v>
      </c>
      <c r="J6" t="s">
        <v>144</v>
      </c>
      <c r="K6" t="s">
        <v>36</v>
      </c>
      <c r="L6" t="s">
        <v>36</v>
      </c>
      <c r="M6" t="s">
        <v>713</v>
      </c>
    </row>
    <row r="7" spans="1:13" x14ac:dyDescent="0.5">
      <c r="A7" t="s">
        <v>714</v>
      </c>
      <c r="B7" t="s">
        <v>715</v>
      </c>
      <c r="C7">
        <v>1</v>
      </c>
      <c r="D7" t="s">
        <v>21</v>
      </c>
      <c r="E7">
        <v>0</v>
      </c>
      <c r="F7">
        <v>100000</v>
      </c>
      <c r="G7" s="1">
        <v>43982</v>
      </c>
      <c r="H7" t="s">
        <v>699</v>
      </c>
      <c r="I7" t="s">
        <v>22</v>
      </c>
      <c r="J7" t="s">
        <v>37</v>
      </c>
      <c r="K7" t="s">
        <v>37</v>
      </c>
      <c r="L7" t="s">
        <v>716</v>
      </c>
      <c r="M7" t="s">
        <v>717</v>
      </c>
    </row>
    <row r="8" spans="1:13" x14ac:dyDescent="0.5">
      <c r="A8" t="s">
        <v>718</v>
      </c>
      <c r="B8" t="s">
        <v>719</v>
      </c>
      <c r="C8">
        <v>1</v>
      </c>
      <c r="D8" t="s">
        <v>21</v>
      </c>
      <c r="E8">
        <v>0</v>
      </c>
      <c r="F8">
        <v>100000</v>
      </c>
      <c r="G8" s="1">
        <v>43982</v>
      </c>
      <c r="H8" t="s">
        <v>699</v>
      </c>
      <c r="I8" t="s">
        <v>22</v>
      </c>
      <c r="J8" t="s">
        <v>20</v>
      </c>
      <c r="K8" t="s">
        <v>20</v>
      </c>
      <c r="L8" t="s">
        <v>707</v>
      </c>
      <c r="M8" t="s">
        <v>708</v>
      </c>
    </row>
    <row r="9" spans="1:13" x14ac:dyDescent="0.5">
      <c r="A9" t="s">
        <v>720</v>
      </c>
      <c r="B9" t="s">
        <v>721</v>
      </c>
      <c r="C9">
        <v>1</v>
      </c>
      <c r="D9" t="s">
        <v>21</v>
      </c>
      <c r="E9">
        <v>0</v>
      </c>
      <c r="F9">
        <v>125000</v>
      </c>
      <c r="G9" s="1">
        <v>44012</v>
      </c>
      <c r="H9" t="s">
        <v>699</v>
      </c>
      <c r="I9" t="s">
        <v>22</v>
      </c>
      <c r="J9" t="s">
        <v>42</v>
      </c>
      <c r="K9" t="s">
        <v>40</v>
      </c>
      <c r="L9" t="s">
        <v>700</v>
      </c>
      <c r="M9" t="s">
        <v>701</v>
      </c>
    </row>
    <row r="10" spans="1:13" x14ac:dyDescent="0.5">
      <c r="A10" t="s">
        <v>722</v>
      </c>
      <c r="B10" t="s">
        <v>723</v>
      </c>
      <c r="C10">
        <v>1</v>
      </c>
      <c r="D10" t="s">
        <v>21</v>
      </c>
      <c r="E10">
        <v>0</v>
      </c>
      <c r="F10">
        <v>100000</v>
      </c>
      <c r="G10" s="1">
        <v>43921</v>
      </c>
      <c r="H10" t="s">
        <v>699</v>
      </c>
      <c r="I10" t="s">
        <v>22</v>
      </c>
      <c r="J10" t="s">
        <v>20</v>
      </c>
      <c r="K10" t="s">
        <v>20</v>
      </c>
      <c r="L10" t="s">
        <v>707</v>
      </c>
      <c r="M10" t="s">
        <v>708</v>
      </c>
    </row>
    <row r="11" spans="1:13" x14ac:dyDescent="0.5">
      <c r="A11" t="s">
        <v>724</v>
      </c>
      <c r="B11" t="s">
        <v>725</v>
      </c>
      <c r="C11">
        <v>12</v>
      </c>
      <c r="D11" t="s">
        <v>83</v>
      </c>
      <c r="E11">
        <v>0</v>
      </c>
      <c r="F11">
        <v>200000</v>
      </c>
      <c r="G11" s="1">
        <v>43921</v>
      </c>
      <c r="H11" t="s">
        <v>699</v>
      </c>
      <c r="I11" t="s">
        <v>22</v>
      </c>
      <c r="J11" t="s">
        <v>20</v>
      </c>
      <c r="K11" t="s">
        <v>20</v>
      </c>
      <c r="L11" t="s">
        <v>707</v>
      </c>
      <c r="M11" t="s">
        <v>708</v>
      </c>
    </row>
    <row r="12" spans="1:13" x14ac:dyDescent="0.5">
      <c r="A12" t="s">
        <v>726</v>
      </c>
      <c r="B12" t="s">
        <v>727</v>
      </c>
      <c r="C12">
        <v>12</v>
      </c>
      <c r="D12" t="s">
        <v>83</v>
      </c>
      <c r="E12">
        <v>0</v>
      </c>
      <c r="F12">
        <v>75000</v>
      </c>
      <c r="G12" s="1">
        <v>43921</v>
      </c>
      <c r="H12" t="s">
        <v>699</v>
      </c>
      <c r="I12" t="s">
        <v>22</v>
      </c>
      <c r="J12" t="s">
        <v>42</v>
      </c>
      <c r="K12" t="s">
        <v>40</v>
      </c>
      <c r="L12" t="s">
        <v>700</v>
      </c>
      <c r="M12" t="s">
        <v>701</v>
      </c>
    </row>
    <row r="13" spans="1:13" x14ac:dyDescent="0.5">
      <c r="A13" t="s">
        <v>728</v>
      </c>
      <c r="B13" t="s">
        <v>729</v>
      </c>
      <c r="C13">
        <v>12</v>
      </c>
      <c r="D13" t="s">
        <v>83</v>
      </c>
      <c r="E13">
        <v>0</v>
      </c>
      <c r="F13">
        <v>25000</v>
      </c>
      <c r="G13" s="1">
        <v>43921</v>
      </c>
      <c r="H13" t="s">
        <v>699</v>
      </c>
      <c r="I13" t="s">
        <v>22</v>
      </c>
      <c r="J13" t="s">
        <v>42</v>
      </c>
      <c r="K13" t="s">
        <v>40</v>
      </c>
      <c r="L13" t="s">
        <v>700</v>
      </c>
      <c r="M13" t="s">
        <v>704</v>
      </c>
    </row>
    <row r="14" spans="1:13" x14ac:dyDescent="0.5">
      <c r="A14" t="s">
        <v>730</v>
      </c>
      <c r="B14" t="s">
        <v>731</v>
      </c>
      <c r="C14">
        <v>12</v>
      </c>
      <c r="D14" t="s">
        <v>83</v>
      </c>
      <c r="E14">
        <v>2000000</v>
      </c>
      <c r="F14">
        <v>150000</v>
      </c>
      <c r="G14" s="1">
        <v>43982</v>
      </c>
      <c r="H14" t="s">
        <v>699</v>
      </c>
      <c r="I14" t="s">
        <v>22</v>
      </c>
      <c r="J14" t="s">
        <v>42</v>
      </c>
      <c r="K14" t="s">
        <v>40</v>
      </c>
      <c r="L14" t="s">
        <v>700</v>
      </c>
      <c r="M14" t="s">
        <v>701</v>
      </c>
    </row>
    <row r="15" spans="1:13" x14ac:dyDescent="0.5">
      <c r="A15" t="s">
        <v>732</v>
      </c>
      <c r="B15" t="s">
        <v>733</v>
      </c>
      <c r="C15">
        <v>12</v>
      </c>
      <c r="D15" t="s">
        <v>83</v>
      </c>
      <c r="E15">
        <v>500000</v>
      </c>
      <c r="F15">
        <v>75000</v>
      </c>
      <c r="G15" s="1">
        <v>43982</v>
      </c>
      <c r="H15" t="s">
        <v>699</v>
      </c>
      <c r="I15" t="s">
        <v>22</v>
      </c>
      <c r="J15" t="s">
        <v>37</v>
      </c>
      <c r="K15" t="s">
        <v>37</v>
      </c>
      <c r="L15" t="s">
        <v>716</v>
      </c>
      <c r="M15" t="s">
        <v>734</v>
      </c>
    </row>
    <row r="16" spans="1:13" x14ac:dyDescent="0.5">
      <c r="A16" t="s">
        <v>735</v>
      </c>
      <c r="B16" t="s">
        <v>736</v>
      </c>
      <c r="C16">
        <v>3</v>
      </c>
      <c r="D16" t="s">
        <v>64</v>
      </c>
      <c r="E16">
        <v>2500000</v>
      </c>
      <c r="F16">
        <v>125000</v>
      </c>
      <c r="G16" s="1">
        <v>43800</v>
      </c>
      <c r="H16" t="s">
        <v>699</v>
      </c>
      <c r="I16" t="s">
        <v>22</v>
      </c>
      <c r="J16" t="s">
        <v>42</v>
      </c>
      <c r="K16" t="s">
        <v>40</v>
      </c>
      <c r="L16" t="s">
        <v>700</v>
      </c>
      <c r="M16" t="s">
        <v>701</v>
      </c>
    </row>
    <row r="17" spans="1:13" x14ac:dyDescent="0.5">
      <c r="A17" t="s">
        <v>737</v>
      </c>
      <c r="B17" t="s">
        <v>738</v>
      </c>
      <c r="C17">
        <v>10</v>
      </c>
      <c r="D17" t="s">
        <v>41</v>
      </c>
      <c r="E17">
        <v>1400000</v>
      </c>
      <c r="F17">
        <v>100000</v>
      </c>
      <c r="G17" s="1">
        <v>43808</v>
      </c>
      <c r="H17" t="s">
        <v>699</v>
      </c>
      <c r="I17" t="s">
        <v>22</v>
      </c>
      <c r="J17" t="s">
        <v>42</v>
      </c>
      <c r="K17" t="s">
        <v>40</v>
      </c>
      <c r="L17" t="s">
        <v>700</v>
      </c>
      <c r="M17" t="s">
        <v>701</v>
      </c>
    </row>
    <row r="18" spans="1:13" x14ac:dyDescent="0.5">
      <c r="A18" t="s">
        <v>739</v>
      </c>
      <c r="B18" t="s">
        <v>740</v>
      </c>
      <c r="C18">
        <v>10</v>
      </c>
      <c r="D18" t="s">
        <v>41</v>
      </c>
      <c r="E18">
        <v>4500000</v>
      </c>
      <c r="F18">
        <v>350000</v>
      </c>
      <c r="G18" s="1">
        <v>43810</v>
      </c>
      <c r="H18" t="s">
        <v>699</v>
      </c>
      <c r="I18" t="s">
        <v>22</v>
      </c>
      <c r="J18" t="s">
        <v>42</v>
      </c>
      <c r="K18" t="s">
        <v>36</v>
      </c>
      <c r="L18" t="s">
        <v>36</v>
      </c>
      <c r="M18" t="s">
        <v>701</v>
      </c>
    </row>
    <row r="19" spans="1:13" x14ac:dyDescent="0.5">
      <c r="A19" t="s">
        <v>741</v>
      </c>
      <c r="B19" t="s">
        <v>742</v>
      </c>
      <c r="C19">
        <v>3</v>
      </c>
      <c r="D19" t="s">
        <v>64</v>
      </c>
      <c r="E19">
        <v>9500000</v>
      </c>
      <c r="F19">
        <v>200000</v>
      </c>
      <c r="G19" s="1">
        <v>43738</v>
      </c>
      <c r="H19" t="s">
        <v>743</v>
      </c>
      <c r="I19" t="s">
        <v>22</v>
      </c>
      <c r="J19" t="s">
        <v>42</v>
      </c>
      <c r="K19" t="s">
        <v>40</v>
      </c>
      <c r="L19" t="s">
        <v>700</v>
      </c>
      <c r="M19" t="s">
        <v>701</v>
      </c>
    </row>
    <row r="20" spans="1:13" x14ac:dyDescent="0.5">
      <c r="A20" t="s">
        <v>744</v>
      </c>
      <c r="B20" t="s">
        <v>745</v>
      </c>
      <c r="C20">
        <v>10</v>
      </c>
      <c r="D20" t="s">
        <v>41</v>
      </c>
      <c r="E20">
        <v>4500000</v>
      </c>
      <c r="F20">
        <v>300000</v>
      </c>
      <c r="G20" s="1">
        <v>43767</v>
      </c>
      <c r="H20" t="s">
        <v>699</v>
      </c>
      <c r="I20" t="s">
        <v>22</v>
      </c>
      <c r="J20" t="s">
        <v>42</v>
      </c>
      <c r="K20" t="s">
        <v>40</v>
      </c>
      <c r="L20" t="s">
        <v>700</v>
      </c>
      <c r="M20" t="s">
        <v>701</v>
      </c>
    </row>
    <row r="21" spans="1:13" x14ac:dyDescent="0.5">
      <c r="A21" t="s">
        <v>746</v>
      </c>
      <c r="B21" t="s">
        <v>747</v>
      </c>
      <c r="C21">
        <v>3</v>
      </c>
      <c r="D21" t="s">
        <v>64</v>
      </c>
      <c r="E21">
        <v>0</v>
      </c>
      <c r="F21">
        <v>100000</v>
      </c>
      <c r="G21" s="1">
        <v>43784</v>
      </c>
      <c r="H21" t="s">
        <v>699</v>
      </c>
      <c r="I21" t="s">
        <v>22</v>
      </c>
      <c r="J21" t="s">
        <v>42</v>
      </c>
      <c r="K21" t="s">
        <v>40</v>
      </c>
      <c r="L21" t="s">
        <v>700</v>
      </c>
      <c r="M21" t="s">
        <v>701</v>
      </c>
    </row>
    <row r="22" spans="1:13" x14ac:dyDescent="0.5">
      <c r="A22" t="s">
        <v>748</v>
      </c>
      <c r="B22" t="s">
        <v>749</v>
      </c>
      <c r="C22">
        <v>3</v>
      </c>
      <c r="D22" t="s">
        <v>64</v>
      </c>
      <c r="E22">
        <v>6000000</v>
      </c>
      <c r="F22">
        <v>300000</v>
      </c>
      <c r="G22" s="1">
        <v>43800</v>
      </c>
      <c r="H22" t="s">
        <v>699</v>
      </c>
      <c r="I22" t="s">
        <v>22</v>
      </c>
      <c r="J22" t="s">
        <v>42</v>
      </c>
      <c r="K22" t="s">
        <v>40</v>
      </c>
      <c r="L22" t="s">
        <v>700</v>
      </c>
      <c r="M22" t="s">
        <v>701</v>
      </c>
    </row>
    <row r="23" spans="1:13" x14ac:dyDescent="0.5">
      <c r="A23" t="s">
        <v>750</v>
      </c>
      <c r="B23" t="s">
        <v>751</v>
      </c>
      <c r="C23">
        <v>10</v>
      </c>
      <c r="D23" t="s">
        <v>41</v>
      </c>
      <c r="E23">
        <v>600000</v>
      </c>
      <c r="F23">
        <v>100000</v>
      </c>
      <c r="G23" s="1">
        <v>43799</v>
      </c>
      <c r="H23" t="s">
        <v>699</v>
      </c>
      <c r="I23" t="s">
        <v>22</v>
      </c>
      <c r="J23" t="s">
        <v>483</v>
      </c>
      <c r="K23" t="s">
        <v>40</v>
      </c>
      <c r="L23" t="s">
        <v>700</v>
      </c>
      <c r="M23" t="s">
        <v>701</v>
      </c>
    </row>
    <row r="24" spans="1:13" x14ac:dyDescent="0.5">
      <c r="A24" t="s">
        <v>752</v>
      </c>
      <c r="B24" t="s">
        <v>753</v>
      </c>
      <c r="C24">
        <v>10</v>
      </c>
      <c r="D24" t="s">
        <v>41</v>
      </c>
      <c r="E24">
        <v>210000</v>
      </c>
      <c r="F24">
        <v>35000</v>
      </c>
      <c r="G24" s="1">
        <v>43799</v>
      </c>
      <c r="H24" t="s">
        <v>699</v>
      </c>
      <c r="I24" t="s">
        <v>22</v>
      </c>
      <c r="J24" t="s">
        <v>483</v>
      </c>
      <c r="K24" t="s">
        <v>40</v>
      </c>
      <c r="L24" t="s">
        <v>700</v>
      </c>
      <c r="M24" t="s">
        <v>704</v>
      </c>
    </row>
    <row r="25" spans="1:13" x14ac:dyDescent="0.5">
      <c r="A25" t="s">
        <v>754</v>
      </c>
      <c r="B25" t="s">
        <v>755</v>
      </c>
      <c r="C25">
        <v>10</v>
      </c>
      <c r="D25" t="s">
        <v>41</v>
      </c>
      <c r="E25">
        <v>300000</v>
      </c>
      <c r="F25">
        <v>49500</v>
      </c>
      <c r="G25" s="1">
        <v>43738</v>
      </c>
      <c r="H25" t="s">
        <v>743</v>
      </c>
      <c r="I25" t="s">
        <v>22</v>
      </c>
      <c r="J25" t="s">
        <v>37</v>
      </c>
      <c r="K25" t="s">
        <v>37</v>
      </c>
      <c r="L25" t="s">
        <v>716</v>
      </c>
      <c r="M25" t="s">
        <v>717</v>
      </c>
    </row>
    <row r="26" spans="1:13" x14ac:dyDescent="0.5">
      <c r="A26" t="s">
        <v>756</v>
      </c>
      <c r="B26" t="s">
        <v>757</v>
      </c>
      <c r="C26">
        <v>10</v>
      </c>
      <c r="D26" t="s">
        <v>41</v>
      </c>
      <c r="E26">
        <v>300000</v>
      </c>
      <c r="F26">
        <v>49500</v>
      </c>
      <c r="G26" s="1">
        <v>43738</v>
      </c>
      <c r="H26" t="s">
        <v>743</v>
      </c>
      <c r="I26" t="s">
        <v>22</v>
      </c>
      <c r="J26" t="s">
        <v>37</v>
      </c>
      <c r="K26" t="s">
        <v>37</v>
      </c>
      <c r="L26" t="s">
        <v>716</v>
      </c>
      <c r="M26" t="s">
        <v>758</v>
      </c>
    </row>
    <row r="27" spans="1:13" x14ac:dyDescent="0.5">
      <c r="A27" t="s">
        <v>759</v>
      </c>
      <c r="B27" t="s">
        <v>760</v>
      </c>
      <c r="C27">
        <v>10</v>
      </c>
      <c r="D27" t="s">
        <v>41</v>
      </c>
      <c r="E27">
        <v>5000000</v>
      </c>
      <c r="F27">
        <v>250000</v>
      </c>
      <c r="G27" s="1">
        <v>43799</v>
      </c>
      <c r="H27" t="s">
        <v>699</v>
      </c>
      <c r="I27" t="s">
        <v>22</v>
      </c>
      <c r="J27" t="s">
        <v>42</v>
      </c>
      <c r="K27" t="s">
        <v>40</v>
      </c>
      <c r="L27" t="s">
        <v>700</v>
      </c>
      <c r="M27" t="s">
        <v>701</v>
      </c>
    </row>
    <row r="28" spans="1:13" x14ac:dyDescent="0.5">
      <c r="A28" t="s">
        <v>20</v>
      </c>
      <c r="B28" t="s">
        <v>761</v>
      </c>
      <c r="C28">
        <v>3</v>
      </c>
      <c r="D28" t="s">
        <v>64</v>
      </c>
      <c r="E28">
        <v>0</v>
      </c>
      <c r="F28">
        <v>100000</v>
      </c>
      <c r="G28" s="1">
        <v>43769</v>
      </c>
      <c r="H28" t="s">
        <v>743</v>
      </c>
      <c r="I28" t="s">
        <v>22</v>
      </c>
      <c r="J28" t="s">
        <v>20</v>
      </c>
      <c r="K28" t="s">
        <v>20</v>
      </c>
      <c r="L28" t="s">
        <v>762</v>
      </c>
      <c r="M28" t="s">
        <v>763</v>
      </c>
    </row>
    <row r="29" spans="1:13" x14ac:dyDescent="0.5">
      <c r="A29" t="s">
        <v>764</v>
      </c>
      <c r="B29" t="s">
        <v>765</v>
      </c>
      <c r="C29">
        <v>12</v>
      </c>
      <c r="D29" t="s">
        <v>83</v>
      </c>
      <c r="E29">
        <v>90000000</v>
      </c>
      <c r="F29">
        <v>200000</v>
      </c>
      <c r="G29" s="1">
        <v>44074</v>
      </c>
      <c r="H29" t="s">
        <v>699</v>
      </c>
      <c r="I29" t="s">
        <v>22</v>
      </c>
      <c r="J29" t="s">
        <v>54</v>
      </c>
      <c r="K29" t="s">
        <v>32</v>
      </c>
      <c r="L29" t="s">
        <v>766</v>
      </c>
      <c r="M29" t="s">
        <v>767</v>
      </c>
    </row>
    <row r="30" spans="1:13" x14ac:dyDescent="0.5">
      <c r="A30" t="s">
        <v>768</v>
      </c>
      <c r="B30" t="s">
        <v>769</v>
      </c>
      <c r="C30">
        <v>3</v>
      </c>
      <c r="D30" t="s">
        <v>64</v>
      </c>
      <c r="E30">
        <v>0</v>
      </c>
      <c r="F30">
        <v>10000</v>
      </c>
      <c r="G30" s="1">
        <v>43738</v>
      </c>
      <c r="H30" t="s">
        <v>770</v>
      </c>
      <c r="I30" t="s">
        <v>22</v>
      </c>
      <c r="J30" t="s">
        <v>20</v>
      </c>
      <c r="K30" t="s">
        <v>20</v>
      </c>
      <c r="L30" t="s">
        <v>762</v>
      </c>
      <c r="M30" t="s">
        <v>762</v>
      </c>
    </row>
    <row r="31" spans="1:13" x14ac:dyDescent="0.5">
      <c r="A31" t="s">
        <v>771</v>
      </c>
      <c r="B31" t="s">
        <v>772</v>
      </c>
      <c r="C31">
        <v>6</v>
      </c>
      <c r="D31" t="s">
        <v>104</v>
      </c>
      <c r="E31">
        <v>0</v>
      </c>
      <c r="F31">
        <v>50000</v>
      </c>
      <c r="G31" s="1">
        <v>43921</v>
      </c>
      <c r="H31" t="s">
        <v>699</v>
      </c>
      <c r="I31" t="s">
        <v>22</v>
      </c>
      <c r="J31" t="s">
        <v>54</v>
      </c>
      <c r="K31" t="s">
        <v>32</v>
      </c>
      <c r="L31" t="s">
        <v>766</v>
      </c>
      <c r="M31" t="s">
        <v>773</v>
      </c>
    </row>
    <row r="32" spans="1:13" x14ac:dyDescent="0.5">
      <c r="A32" t="s">
        <v>774</v>
      </c>
      <c r="B32" t="s">
        <v>775</v>
      </c>
      <c r="C32">
        <v>6</v>
      </c>
      <c r="D32" t="s">
        <v>104</v>
      </c>
      <c r="E32">
        <v>300000</v>
      </c>
      <c r="F32">
        <v>30000</v>
      </c>
      <c r="G32" s="1">
        <v>43921</v>
      </c>
      <c r="H32" t="s">
        <v>699</v>
      </c>
      <c r="I32" t="s">
        <v>22</v>
      </c>
      <c r="J32" t="s">
        <v>33</v>
      </c>
      <c r="K32" t="s">
        <v>202</v>
      </c>
      <c r="L32" t="s">
        <v>202</v>
      </c>
      <c r="M32" t="s">
        <v>776</v>
      </c>
    </row>
    <row r="33" spans="1:13" x14ac:dyDescent="0.5">
      <c r="A33" t="s">
        <v>777</v>
      </c>
      <c r="B33" t="s">
        <v>778</v>
      </c>
      <c r="C33">
        <v>6</v>
      </c>
      <c r="D33" t="s">
        <v>104</v>
      </c>
      <c r="E33">
        <v>0</v>
      </c>
      <c r="F33">
        <v>200000</v>
      </c>
      <c r="G33" s="1">
        <v>43921</v>
      </c>
      <c r="H33" t="s">
        <v>699</v>
      </c>
      <c r="I33" t="s">
        <v>22</v>
      </c>
      <c r="J33" t="s">
        <v>54</v>
      </c>
      <c r="K33" t="s">
        <v>32</v>
      </c>
      <c r="L33" t="s">
        <v>766</v>
      </c>
      <c r="M33" t="s">
        <v>773</v>
      </c>
    </row>
    <row r="34" spans="1:13" x14ac:dyDescent="0.5">
      <c r="A34" t="s">
        <v>779</v>
      </c>
      <c r="B34" t="s">
        <v>780</v>
      </c>
      <c r="C34">
        <v>6</v>
      </c>
      <c r="D34" t="s">
        <v>104</v>
      </c>
      <c r="E34">
        <v>300000</v>
      </c>
      <c r="F34">
        <v>50000</v>
      </c>
      <c r="G34" s="1">
        <v>43921</v>
      </c>
      <c r="H34" t="s">
        <v>699</v>
      </c>
      <c r="I34" t="s">
        <v>22</v>
      </c>
      <c r="J34" t="s">
        <v>54</v>
      </c>
      <c r="K34" t="s">
        <v>32</v>
      </c>
      <c r="L34" t="s">
        <v>766</v>
      </c>
      <c r="M34" t="s">
        <v>773</v>
      </c>
    </row>
    <row r="35" spans="1:13" x14ac:dyDescent="0.5">
      <c r="A35" t="s">
        <v>781</v>
      </c>
      <c r="B35" t="s">
        <v>782</v>
      </c>
      <c r="C35">
        <v>6</v>
      </c>
      <c r="D35" t="s">
        <v>104</v>
      </c>
      <c r="E35">
        <v>1000000</v>
      </c>
      <c r="F35">
        <v>100000</v>
      </c>
      <c r="G35" s="1">
        <v>44043</v>
      </c>
      <c r="H35" t="s">
        <v>699</v>
      </c>
      <c r="I35" t="s">
        <v>22</v>
      </c>
      <c r="J35" t="s">
        <v>54</v>
      </c>
      <c r="K35" t="s">
        <v>32</v>
      </c>
      <c r="L35" t="s">
        <v>766</v>
      </c>
      <c r="M35" t="s">
        <v>773</v>
      </c>
    </row>
    <row r="36" spans="1:13" x14ac:dyDescent="0.5">
      <c r="A36" t="s">
        <v>783</v>
      </c>
      <c r="B36" t="s">
        <v>784</v>
      </c>
      <c r="C36">
        <v>6</v>
      </c>
      <c r="D36" t="s">
        <v>104</v>
      </c>
      <c r="E36">
        <v>0</v>
      </c>
      <c r="F36">
        <v>300000</v>
      </c>
      <c r="G36" s="1">
        <v>44012</v>
      </c>
      <c r="H36" t="s">
        <v>699</v>
      </c>
      <c r="I36" t="s">
        <v>22</v>
      </c>
      <c r="J36" t="s">
        <v>54</v>
      </c>
      <c r="K36" t="s">
        <v>32</v>
      </c>
      <c r="L36" t="s">
        <v>766</v>
      </c>
      <c r="M36" t="s">
        <v>773</v>
      </c>
    </row>
    <row r="37" spans="1:13" x14ac:dyDescent="0.5">
      <c r="A37" t="s">
        <v>785</v>
      </c>
      <c r="B37" t="s">
        <v>786</v>
      </c>
      <c r="C37">
        <v>6</v>
      </c>
      <c r="D37" t="s">
        <v>104</v>
      </c>
      <c r="E37">
        <v>0</v>
      </c>
      <c r="F37">
        <v>200000</v>
      </c>
      <c r="G37" s="1">
        <v>44012</v>
      </c>
      <c r="H37" t="s">
        <v>699</v>
      </c>
      <c r="I37" t="s">
        <v>22</v>
      </c>
      <c r="J37" t="s">
        <v>54</v>
      </c>
      <c r="K37" t="s">
        <v>32</v>
      </c>
      <c r="L37" t="s">
        <v>766</v>
      </c>
      <c r="M37" t="s">
        <v>773</v>
      </c>
    </row>
    <row r="38" spans="1:13" x14ac:dyDescent="0.5">
      <c r="A38" t="s">
        <v>787</v>
      </c>
      <c r="B38" t="s">
        <v>788</v>
      </c>
      <c r="C38">
        <v>6</v>
      </c>
      <c r="D38" t="s">
        <v>104</v>
      </c>
      <c r="E38">
        <v>0</v>
      </c>
      <c r="F38">
        <v>200000</v>
      </c>
      <c r="G38" s="1">
        <v>44012</v>
      </c>
      <c r="H38" t="s">
        <v>699</v>
      </c>
      <c r="I38" t="s">
        <v>22</v>
      </c>
      <c r="J38" t="s">
        <v>54</v>
      </c>
      <c r="K38" t="s">
        <v>32</v>
      </c>
      <c r="L38" t="s">
        <v>766</v>
      </c>
      <c r="M38" t="s">
        <v>773</v>
      </c>
    </row>
    <row r="39" spans="1:13" x14ac:dyDescent="0.5">
      <c r="A39" t="s">
        <v>789</v>
      </c>
      <c r="B39" t="s">
        <v>790</v>
      </c>
      <c r="C39">
        <v>6</v>
      </c>
      <c r="D39" t="s">
        <v>104</v>
      </c>
      <c r="E39">
        <v>0</v>
      </c>
      <c r="F39">
        <v>400000</v>
      </c>
      <c r="G39" s="1">
        <v>44012</v>
      </c>
      <c r="H39" t="s">
        <v>699</v>
      </c>
      <c r="I39" t="s">
        <v>22</v>
      </c>
      <c r="J39" t="s">
        <v>54</v>
      </c>
      <c r="K39" t="s">
        <v>32</v>
      </c>
      <c r="L39" t="s">
        <v>766</v>
      </c>
      <c r="M39" t="s">
        <v>773</v>
      </c>
    </row>
    <row r="40" spans="1:13" x14ac:dyDescent="0.5">
      <c r="A40" t="s">
        <v>791</v>
      </c>
      <c r="B40" t="s">
        <v>792</v>
      </c>
      <c r="C40">
        <v>12</v>
      </c>
      <c r="D40" t="s">
        <v>83</v>
      </c>
      <c r="E40">
        <v>0</v>
      </c>
      <c r="F40">
        <v>300000</v>
      </c>
      <c r="G40" s="1">
        <v>44012</v>
      </c>
      <c r="H40" t="s">
        <v>699</v>
      </c>
      <c r="I40" t="s">
        <v>22</v>
      </c>
      <c r="J40" t="s">
        <v>793</v>
      </c>
      <c r="K40" t="s">
        <v>794</v>
      </c>
      <c r="L40" t="s">
        <v>795</v>
      </c>
      <c r="M40" t="s">
        <v>796</v>
      </c>
    </row>
    <row r="41" spans="1:13" x14ac:dyDescent="0.5">
      <c r="A41" t="s">
        <v>797</v>
      </c>
      <c r="B41" t="s">
        <v>798</v>
      </c>
      <c r="C41">
        <v>12</v>
      </c>
      <c r="D41" t="s">
        <v>83</v>
      </c>
      <c r="E41">
        <v>500000</v>
      </c>
      <c r="F41">
        <v>50000</v>
      </c>
      <c r="G41" s="1">
        <v>43830</v>
      </c>
      <c r="H41" t="s">
        <v>699</v>
      </c>
      <c r="I41" t="s">
        <v>22</v>
      </c>
      <c r="J41" t="s">
        <v>33</v>
      </c>
      <c r="K41" t="s">
        <v>202</v>
      </c>
      <c r="L41" t="s">
        <v>202</v>
      </c>
      <c r="M41" t="s">
        <v>776</v>
      </c>
    </row>
    <row r="42" spans="1:13" x14ac:dyDescent="0.5">
      <c r="A42" t="s">
        <v>799</v>
      </c>
      <c r="B42" t="s">
        <v>800</v>
      </c>
      <c r="C42">
        <v>12</v>
      </c>
      <c r="D42" t="s">
        <v>83</v>
      </c>
      <c r="E42">
        <v>1000000</v>
      </c>
      <c r="F42">
        <v>100000</v>
      </c>
      <c r="G42" s="1">
        <v>43738</v>
      </c>
      <c r="H42" t="s">
        <v>699</v>
      </c>
      <c r="I42" t="s">
        <v>22</v>
      </c>
      <c r="J42" t="s">
        <v>33</v>
      </c>
      <c r="K42" t="s">
        <v>202</v>
      </c>
      <c r="L42" t="s">
        <v>202</v>
      </c>
      <c r="M42" t="s">
        <v>776</v>
      </c>
    </row>
    <row r="43" spans="1:13" x14ac:dyDescent="0.5">
      <c r="A43" t="s">
        <v>801</v>
      </c>
      <c r="B43" t="s">
        <v>802</v>
      </c>
      <c r="C43">
        <v>10</v>
      </c>
      <c r="D43" t="s">
        <v>41</v>
      </c>
      <c r="E43">
        <v>500000</v>
      </c>
      <c r="F43">
        <v>62000</v>
      </c>
      <c r="G43" s="1">
        <v>43738</v>
      </c>
      <c r="H43" t="s">
        <v>699</v>
      </c>
      <c r="I43" t="s">
        <v>22</v>
      </c>
      <c r="J43" t="s">
        <v>33</v>
      </c>
      <c r="K43" t="s">
        <v>202</v>
      </c>
      <c r="L43" t="s">
        <v>202</v>
      </c>
      <c r="M43" t="s">
        <v>776</v>
      </c>
    </row>
    <row r="44" spans="1:13" x14ac:dyDescent="0.5">
      <c r="A44" t="s">
        <v>803</v>
      </c>
      <c r="B44" t="s">
        <v>804</v>
      </c>
      <c r="C44">
        <v>10</v>
      </c>
      <c r="D44" t="s">
        <v>41</v>
      </c>
      <c r="E44">
        <v>300000</v>
      </c>
      <c r="F44">
        <v>37500</v>
      </c>
      <c r="G44" s="1">
        <v>43738</v>
      </c>
      <c r="H44" t="s">
        <v>699</v>
      </c>
      <c r="I44" t="s">
        <v>22</v>
      </c>
      <c r="J44" t="s">
        <v>33</v>
      </c>
      <c r="K44" t="s">
        <v>202</v>
      </c>
      <c r="L44" t="s">
        <v>202</v>
      </c>
      <c r="M44" t="s">
        <v>776</v>
      </c>
    </row>
    <row r="45" spans="1:13" x14ac:dyDescent="0.5">
      <c r="A45" t="s">
        <v>805</v>
      </c>
      <c r="B45" t="s">
        <v>806</v>
      </c>
      <c r="C45">
        <v>3</v>
      </c>
      <c r="D45" t="s">
        <v>64</v>
      </c>
      <c r="E45">
        <v>700000</v>
      </c>
      <c r="F45">
        <v>100000</v>
      </c>
      <c r="G45" s="1">
        <v>43830</v>
      </c>
      <c r="H45" t="s">
        <v>699</v>
      </c>
      <c r="I45" t="s">
        <v>22</v>
      </c>
      <c r="J45" t="s">
        <v>54</v>
      </c>
      <c r="K45" t="s">
        <v>32</v>
      </c>
      <c r="L45" t="s">
        <v>766</v>
      </c>
      <c r="M45" t="s">
        <v>773</v>
      </c>
    </row>
    <row r="46" spans="1:13" x14ac:dyDescent="0.5">
      <c r="A46" t="s">
        <v>807</v>
      </c>
      <c r="B46" t="s">
        <v>808</v>
      </c>
      <c r="C46">
        <v>10</v>
      </c>
      <c r="D46" t="s">
        <v>41</v>
      </c>
      <c r="E46">
        <v>800000</v>
      </c>
      <c r="F46">
        <v>50000</v>
      </c>
      <c r="G46" s="1">
        <v>43738</v>
      </c>
      <c r="H46" t="s">
        <v>699</v>
      </c>
      <c r="I46" t="s">
        <v>22</v>
      </c>
      <c r="J46" t="s">
        <v>33</v>
      </c>
      <c r="K46" t="s">
        <v>202</v>
      </c>
      <c r="L46" t="s">
        <v>202</v>
      </c>
      <c r="M46" t="s">
        <v>776</v>
      </c>
    </row>
    <row r="47" spans="1:13" x14ac:dyDescent="0.5">
      <c r="A47" t="s">
        <v>32</v>
      </c>
      <c r="B47" t="s">
        <v>809</v>
      </c>
      <c r="C47">
        <v>3</v>
      </c>
      <c r="D47" t="s">
        <v>64</v>
      </c>
      <c r="E47">
        <v>0</v>
      </c>
      <c r="F47">
        <v>500000</v>
      </c>
      <c r="G47" s="1">
        <v>43739</v>
      </c>
      <c r="H47" t="s">
        <v>743</v>
      </c>
      <c r="I47" t="s">
        <v>22</v>
      </c>
      <c r="J47" t="s">
        <v>54</v>
      </c>
      <c r="K47" t="s">
        <v>32</v>
      </c>
      <c r="L47" t="s">
        <v>766</v>
      </c>
      <c r="M47" t="s">
        <v>773</v>
      </c>
    </row>
    <row r="48" spans="1:13" x14ac:dyDescent="0.5">
      <c r="A48" t="s">
        <v>810</v>
      </c>
      <c r="B48" t="s">
        <v>811</v>
      </c>
      <c r="C48">
        <v>12</v>
      </c>
      <c r="D48" t="s">
        <v>83</v>
      </c>
      <c r="E48">
        <v>1000000</v>
      </c>
      <c r="F48">
        <v>100000</v>
      </c>
      <c r="G48" s="1">
        <v>43830</v>
      </c>
      <c r="H48" t="s">
        <v>699</v>
      </c>
      <c r="I48" t="s">
        <v>22</v>
      </c>
      <c r="J48" t="s">
        <v>54</v>
      </c>
      <c r="K48" t="s">
        <v>32</v>
      </c>
      <c r="L48" t="s">
        <v>766</v>
      </c>
      <c r="M48" t="s">
        <v>773</v>
      </c>
    </row>
    <row r="49" spans="1:13" x14ac:dyDescent="0.5">
      <c r="A49" t="s">
        <v>812</v>
      </c>
      <c r="B49" t="s">
        <v>813</v>
      </c>
      <c r="C49">
        <v>3</v>
      </c>
      <c r="D49" t="s">
        <v>64</v>
      </c>
      <c r="E49">
        <v>0</v>
      </c>
      <c r="F49">
        <v>50000</v>
      </c>
      <c r="G49" s="1">
        <v>43738</v>
      </c>
      <c r="H49" t="s">
        <v>770</v>
      </c>
      <c r="I49" t="s">
        <v>22</v>
      </c>
      <c r="J49" t="s">
        <v>54</v>
      </c>
      <c r="K49" t="s">
        <v>32</v>
      </c>
      <c r="L49" t="s">
        <v>766</v>
      </c>
      <c r="M49" t="s">
        <v>773</v>
      </c>
    </row>
    <row r="50" spans="1:13" x14ac:dyDescent="0.5">
      <c r="A50" t="s">
        <v>814</v>
      </c>
      <c r="B50" t="s">
        <v>815</v>
      </c>
      <c r="C50">
        <v>12</v>
      </c>
      <c r="D50" t="s">
        <v>83</v>
      </c>
      <c r="E50">
        <v>0</v>
      </c>
      <c r="F50">
        <v>50000</v>
      </c>
      <c r="G50" s="1">
        <v>43921</v>
      </c>
      <c r="H50" t="s">
        <v>699</v>
      </c>
      <c r="I50" t="s">
        <v>22</v>
      </c>
      <c r="J50" t="s">
        <v>37</v>
      </c>
      <c r="K50" t="s">
        <v>37</v>
      </c>
      <c r="L50" t="s">
        <v>716</v>
      </c>
      <c r="M50" t="s">
        <v>816</v>
      </c>
    </row>
    <row r="54" spans="1:13" x14ac:dyDescent="0.5">
      <c r="I54" t="s">
        <v>841</v>
      </c>
    </row>
    <row r="55" spans="1:13" x14ac:dyDescent="0.5">
      <c r="I55">
        <f>COUNTA(gcrm_opportunity_202001231041[opportunity_name])</f>
        <v>49</v>
      </c>
    </row>
    <row r="56" spans="1:13" x14ac:dyDescent="0.5">
      <c r="I56" t="s">
        <v>842</v>
      </c>
    </row>
    <row r="57" spans="1:13" x14ac:dyDescent="0.5">
      <c r="I57">
        <f>COUNTIF(gcrm_opportunity_202001231041[stage],"Propose Solution") + COUNTIF(gcrm_opportunity_202001231041[stage],"Qualify Opportunity")</f>
        <v>44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49073-F11A-4398-BDFB-3B5E47DCC5AD}">
  <dimension ref="A3:E13"/>
  <sheetViews>
    <sheetView workbookViewId="0">
      <selection sqref="A1:T17"/>
    </sheetView>
  </sheetViews>
  <sheetFormatPr defaultRowHeight="18" x14ac:dyDescent="0.5"/>
  <cols>
    <col min="1" max="1" width="25.5546875" bestFit="1" customWidth="1"/>
    <col min="2" max="2" width="17.6640625" bestFit="1" customWidth="1"/>
    <col min="3" max="3" width="5.33203125" bestFit="1" customWidth="1"/>
    <col min="4" max="4" width="9" bestFit="1" customWidth="1"/>
    <col min="5" max="5" width="12.77734375" bestFit="1" customWidth="1"/>
  </cols>
  <sheetData>
    <row r="3" spans="1:5" x14ac:dyDescent="0.5">
      <c r="A3" s="3" t="s">
        <v>817</v>
      </c>
      <c r="B3" s="3" t="s">
        <v>820</v>
      </c>
    </row>
    <row r="4" spans="1:5" x14ac:dyDescent="0.5">
      <c r="A4" s="3" t="s">
        <v>818</v>
      </c>
      <c r="B4" t="s">
        <v>66</v>
      </c>
      <c r="C4" t="s">
        <v>28</v>
      </c>
      <c r="D4" t="s">
        <v>23</v>
      </c>
      <c r="E4" t="s">
        <v>819</v>
      </c>
    </row>
    <row r="5" spans="1:5" x14ac:dyDescent="0.5">
      <c r="A5" s="4" t="s">
        <v>27</v>
      </c>
      <c r="B5" s="2">
        <v>10</v>
      </c>
      <c r="C5" s="2"/>
      <c r="D5" s="2"/>
      <c r="E5" s="2">
        <v>10</v>
      </c>
    </row>
    <row r="6" spans="1:5" x14ac:dyDescent="0.5">
      <c r="A6" s="4" t="s">
        <v>64</v>
      </c>
      <c r="B6" s="2">
        <v>20</v>
      </c>
      <c r="C6" s="2"/>
      <c r="D6" s="2"/>
      <c r="E6" s="2">
        <v>20</v>
      </c>
    </row>
    <row r="7" spans="1:5" x14ac:dyDescent="0.5">
      <c r="A7" s="4" t="s">
        <v>317</v>
      </c>
      <c r="B7" s="2"/>
      <c r="C7" s="2">
        <v>2</v>
      </c>
      <c r="D7" s="2">
        <v>61</v>
      </c>
      <c r="E7" s="2">
        <v>63</v>
      </c>
    </row>
    <row r="8" spans="1:5" x14ac:dyDescent="0.5">
      <c r="A8" s="4" t="s">
        <v>134</v>
      </c>
      <c r="B8" s="2">
        <v>2</v>
      </c>
      <c r="C8" s="2">
        <v>15</v>
      </c>
      <c r="D8" s="2">
        <v>5</v>
      </c>
      <c r="E8" s="2">
        <v>22</v>
      </c>
    </row>
    <row r="9" spans="1:5" x14ac:dyDescent="0.5">
      <c r="A9" s="4" t="s">
        <v>104</v>
      </c>
      <c r="B9" s="2">
        <v>9</v>
      </c>
      <c r="C9" s="2">
        <v>9</v>
      </c>
      <c r="D9" s="2">
        <v>18</v>
      </c>
      <c r="E9" s="2">
        <v>36</v>
      </c>
    </row>
    <row r="10" spans="1:5" x14ac:dyDescent="0.5">
      <c r="A10" s="4" t="s">
        <v>41</v>
      </c>
      <c r="B10" s="2">
        <v>2</v>
      </c>
      <c r="C10" s="2">
        <v>1</v>
      </c>
      <c r="D10" s="2"/>
      <c r="E10" s="2">
        <v>3</v>
      </c>
    </row>
    <row r="11" spans="1:5" x14ac:dyDescent="0.5">
      <c r="A11" s="4" t="s">
        <v>572</v>
      </c>
      <c r="B11" s="2">
        <v>12</v>
      </c>
      <c r="C11" s="2"/>
      <c r="D11" s="2">
        <v>15</v>
      </c>
      <c r="E11" s="2">
        <v>27</v>
      </c>
    </row>
    <row r="12" spans="1:5" x14ac:dyDescent="0.5">
      <c r="A12" s="4" t="s">
        <v>21</v>
      </c>
      <c r="B12" s="2">
        <v>19</v>
      </c>
      <c r="C12" s="2">
        <v>1</v>
      </c>
      <c r="D12" s="2">
        <v>3</v>
      </c>
      <c r="E12" s="2">
        <v>23</v>
      </c>
    </row>
    <row r="13" spans="1:5" x14ac:dyDescent="0.5">
      <c r="A13" s="4" t="s">
        <v>819</v>
      </c>
      <c r="B13" s="2">
        <v>74</v>
      </c>
      <c r="C13" s="2">
        <v>28</v>
      </c>
      <c r="D13" s="2">
        <v>102</v>
      </c>
      <c r="E13" s="2">
        <v>204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D4C012-3E47-4127-B923-9D2B80C96240}">
  <dimension ref="A2:B10"/>
  <sheetViews>
    <sheetView workbookViewId="0">
      <selection activeCell="D18" sqref="D18"/>
    </sheetView>
  </sheetViews>
  <sheetFormatPr defaultRowHeight="18" x14ac:dyDescent="0.5"/>
  <cols>
    <col min="1" max="1" width="16.21875" bestFit="1" customWidth="1"/>
    <col min="2" max="2" width="24.33203125" bestFit="1" customWidth="1"/>
  </cols>
  <sheetData>
    <row r="2" spans="1:2" x14ac:dyDescent="0.5">
      <c r="A2" s="3" t="s">
        <v>818</v>
      </c>
      <c r="B2" t="s">
        <v>840</v>
      </c>
    </row>
    <row r="3" spans="1:2" x14ac:dyDescent="0.5">
      <c r="A3" s="4" t="s">
        <v>40</v>
      </c>
      <c r="B3" s="2">
        <v>15</v>
      </c>
    </row>
    <row r="4" spans="1:2" x14ac:dyDescent="0.5">
      <c r="A4" s="4" t="s">
        <v>202</v>
      </c>
      <c r="B4" s="2">
        <v>6</v>
      </c>
    </row>
    <row r="5" spans="1:2" x14ac:dyDescent="0.5">
      <c r="A5" s="4" t="s">
        <v>32</v>
      </c>
      <c r="B5" s="2">
        <v>13</v>
      </c>
    </row>
    <row r="6" spans="1:2" x14ac:dyDescent="0.5">
      <c r="A6" s="4" t="s">
        <v>37</v>
      </c>
      <c r="B6" s="2">
        <v>5</v>
      </c>
    </row>
    <row r="7" spans="1:2" x14ac:dyDescent="0.5">
      <c r="A7" s="4" t="s">
        <v>20</v>
      </c>
      <c r="B7" s="2">
        <v>7</v>
      </c>
    </row>
    <row r="8" spans="1:2" x14ac:dyDescent="0.5">
      <c r="A8" s="4" t="s">
        <v>36</v>
      </c>
      <c r="B8" s="2">
        <v>2</v>
      </c>
    </row>
    <row r="9" spans="1:2" x14ac:dyDescent="0.5">
      <c r="A9" s="4" t="s">
        <v>794</v>
      </c>
      <c r="B9" s="2">
        <v>1</v>
      </c>
    </row>
    <row r="10" spans="1:2" x14ac:dyDescent="0.5">
      <c r="A10" s="4" t="s">
        <v>819</v>
      </c>
      <c r="B10" s="2">
        <v>49</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B8855E-63C7-457D-A366-61595E65FC5B}">
  <dimension ref="A3:B8"/>
  <sheetViews>
    <sheetView zoomScaleNormal="100" workbookViewId="0">
      <selection activeCell="O10" sqref="O10"/>
    </sheetView>
  </sheetViews>
  <sheetFormatPr defaultRowHeight="18" x14ac:dyDescent="0.5"/>
  <cols>
    <col min="1" max="1" width="14" bestFit="1" customWidth="1"/>
    <col min="2" max="2" width="30.109375" bestFit="1" customWidth="1"/>
  </cols>
  <sheetData>
    <row r="3" spans="1:2" x14ac:dyDescent="0.5">
      <c r="A3" s="3" t="s">
        <v>818</v>
      </c>
      <c r="B3" t="s">
        <v>843</v>
      </c>
    </row>
    <row r="4" spans="1:2" x14ac:dyDescent="0.5">
      <c r="A4" s="4" t="s">
        <v>821</v>
      </c>
      <c r="B4" s="2">
        <v>3</v>
      </c>
    </row>
    <row r="5" spans="1:2" x14ac:dyDescent="0.5">
      <c r="A5" s="4" t="s">
        <v>822</v>
      </c>
      <c r="B5" s="2">
        <v>31</v>
      </c>
    </row>
    <row r="6" spans="1:2" x14ac:dyDescent="0.5">
      <c r="A6" s="4" t="s">
        <v>819</v>
      </c>
      <c r="B6" s="2">
        <v>34</v>
      </c>
    </row>
    <row r="8" spans="1:2" x14ac:dyDescent="0.5">
      <c r="B8" s="17">
        <v>34</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B70A3-B4D0-4A2D-A5E6-65F559BBCD19}">
  <dimension ref="A3:B13"/>
  <sheetViews>
    <sheetView workbookViewId="0">
      <selection activeCell="A3" sqref="A3"/>
    </sheetView>
  </sheetViews>
  <sheetFormatPr defaultRowHeight="18" x14ac:dyDescent="0.5"/>
  <cols>
    <col min="1" max="1" width="14" bestFit="1" customWidth="1"/>
    <col min="2" max="2" width="30.109375" bestFit="1" customWidth="1"/>
    <col min="3" max="3" width="14.109375" customWidth="1"/>
    <col min="4" max="4" width="6.5546875" customWidth="1"/>
    <col min="5" max="5" width="9.5546875" customWidth="1"/>
    <col min="6" max="6" width="14.21875" customWidth="1"/>
    <col min="7" max="7" width="5.44140625" customWidth="1"/>
    <col min="8" max="8" width="10.77734375" customWidth="1"/>
    <col min="9" max="9" width="14.109375" customWidth="1"/>
    <col min="10" max="10" width="5.77734375" customWidth="1"/>
    <col min="11" max="11" width="10.77734375" customWidth="1"/>
  </cols>
  <sheetData>
    <row r="3" spans="1:2" x14ac:dyDescent="0.5">
      <c r="A3" s="3" t="s">
        <v>818</v>
      </c>
      <c r="B3" t="s">
        <v>843</v>
      </c>
    </row>
    <row r="4" spans="1:2" x14ac:dyDescent="0.5">
      <c r="A4" s="4" t="s">
        <v>138</v>
      </c>
      <c r="B4" s="2">
        <v>2</v>
      </c>
    </row>
    <row r="5" spans="1:2" x14ac:dyDescent="0.5">
      <c r="A5" s="4" t="s">
        <v>41</v>
      </c>
      <c r="B5" s="2">
        <v>2</v>
      </c>
    </row>
    <row r="6" spans="1:2" x14ac:dyDescent="0.5">
      <c r="A6" s="4" t="s">
        <v>60</v>
      </c>
      <c r="B6" s="2">
        <v>3</v>
      </c>
    </row>
    <row r="7" spans="1:2" x14ac:dyDescent="0.5">
      <c r="A7" s="4" t="s">
        <v>317</v>
      </c>
      <c r="B7" s="2">
        <v>3</v>
      </c>
    </row>
    <row r="8" spans="1:2" x14ac:dyDescent="0.5">
      <c r="A8" s="4" t="s">
        <v>64</v>
      </c>
      <c r="B8" s="2">
        <v>4</v>
      </c>
    </row>
    <row r="9" spans="1:2" x14ac:dyDescent="0.5">
      <c r="A9" s="4" t="s">
        <v>104</v>
      </c>
      <c r="B9" s="2">
        <v>4</v>
      </c>
    </row>
    <row r="10" spans="1:2" x14ac:dyDescent="0.5">
      <c r="A10" s="4" t="s">
        <v>83</v>
      </c>
      <c r="B10" s="2">
        <v>4</v>
      </c>
    </row>
    <row r="11" spans="1:2" x14ac:dyDescent="0.5">
      <c r="A11" s="4" t="s">
        <v>21</v>
      </c>
      <c r="B11" s="2">
        <v>5</v>
      </c>
    </row>
    <row r="12" spans="1:2" x14ac:dyDescent="0.5">
      <c r="A12" s="4" t="s">
        <v>27</v>
      </c>
      <c r="B12" s="2">
        <v>7</v>
      </c>
    </row>
    <row r="13" spans="1:2" x14ac:dyDescent="0.5">
      <c r="A13" s="4" t="s">
        <v>819</v>
      </c>
      <c r="B13" s="2">
        <v>34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4522D-5A8C-4EBB-AB40-0E92E533D66B}">
  <dimension ref="A2:B7"/>
  <sheetViews>
    <sheetView zoomScaleNormal="100" workbookViewId="0">
      <selection activeCell="B7" sqref="B7"/>
    </sheetView>
  </sheetViews>
  <sheetFormatPr defaultRowHeight="18" x14ac:dyDescent="0.5"/>
  <cols>
    <col min="1" max="1" width="18" bestFit="1" customWidth="1"/>
    <col min="2" max="3" width="24.6640625" bestFit="1" customWidth="1"/>
    <col min="4" max="6" width="15.5546875" customWidth="1"/>
    <col min="7" max="8" width="10.77734375" customWidth="1"/>
    <col min="9" max="9" width="6" customWidth="1"/>
    <col min="10" max="10" width="7" customWidth="1"/>
    <col min="11" max="11" width="8" customWidth="1"/>
    <col min="12" max="13" width="7" customWidth="1"/>
    <col min="14" max="14" width="8" customWidth="1"/>
    <col min="15" max="15" width="7" customWidth="1"/>
    <col min="16" max="16" width="8" customWidth="1"/>
    <col min="17" max="19" width="7" customWidth="1"/>
    <col min="20" max="20" width="10.77734375" customWidth="1"/>
  </cols>
  <sheetData>
    <row r="2" spans="1:2" x14ac:dyDescent="0.5">
      <c r="A2" s="3" t="s">
        <v>818</v>
      </c>
      <c r="B2" t="s">
        <v>823</v>
      </c>
    </row>
    <row r="3" spans="1:2" x14ac:dyDescent="0.5">
      <c r="A3" s="4" t="s">
        <v>739</v>
      </c>
      <c r="B3" s="13">
        <v>350000</v>
      </c>
    </row>
    <row r="4" spans="1:2" x14ac:dyDescent="0.5">
      <c r="A4" s="4" t="s">
        <v>789</v>
      </c>
      <c r="B4" s="13">
        <v>400000</v>
      </c>
    </row>
    <row r="5" spans="1:2" x14ac:dyDescent="0.5">
      <c r="A5" s="4" t="s">
        <v>697</v>
      </c>
      <c r="B5" s="13">
        <v>400000</v>
      </c>
    </row>
    <row r="6" spans="1:2" x14ac:dyDescent="0.5">
      <c r="A6" s="4" t="s">
        <v>32</v>
      </c>
      <c r="B6" s="13">
        <v>500000</v>
      </c>
    </row>
    <row r="7" spans="1:2" x14ac:dyDescent="0.5">
      <c r="A7" s="4" t="s">
        <v>819</v>
      </c>
      <c r="B7" s="2">
        <v>1650000</v>
      </c>
    </row>
  </sheetData>
  <pageMargins left="0.7" right="0.7" top="0.75" bottom="0.75" header="0.3" footer="0.3"/>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7CEF93-567D-445F-B8D0-0DDA7287397D}">
  <dimension ref="A2:G32"/>
  <sheetViews>
    <sheetView zoomScale="85" zoomScaleNormal="85" workbookViewId="0">
      <selection activeCell="E8" sqref="E8:E10"/>
    </sheetView>
  </sheetViews>
  <sheetFormatPr defaultRowHeight="18" x14ac:dyDescent="0.5"/>
  <cols>
    <col min="1" max="1" width="15" bestFit="1" customWidth="1"/>
    <col min="2" max="2" width="17" bestFit="1" customWidth="1"/>
    <col min="3" max="3" width="25" bestFit="1" customWidth="1"/>
    <col min="4" max="4" width="21.33203125" customWidth="1"/>
    <col min="5" max="5" width="16.21875" customWidth="1"/>
    <col min="6" max="6" width="15.6640625" customWidth="1"/>
    <col min="7" max="7" width="15" customWidth="1"/>
  </cols>
  <sheetData>
    <row r="2" spans="1:7" ht="19.2" x14ac:dyDescent="0.5">
      <c r="A2" s="15" t="s">
        <v>832</v>
      </c>
      <c r="B2" s="15"/>
      <c r="C2" s="15"/>
    </row>
    <row r="3" spans="1:7" x14ac:dyDescent="0.5">
      <c r="A3" t="s">
        <v>824</v>
      </c>
      <c r="B3" t="s">
        <v>825</v>
      </c>
      <c r="C3" t="s">
        <v>826</v>
      </c>
    </row>
    <row r="4" spans="1:7" x14ac:dyDescent="0.5">
      <c r="A4" s="2">
        <v>19673793</v>
      </c>
      <c r="B4" s="2">
        <v>20083111</v>
      </c>
      <c r="C4" s="2">
        <v>12319455</v>
      </c>
    </row>
    <row r="5" spans="1:7" x14ac:dyDescent="0.5">
      <c r="A5" s="2"/>
      <c r="B5" s="2"/>
      <c r="C5" s="2"/>
    </row>
    <row r="6" spans="1:7" ht="24.6" x14ac:dyDescent="0.6">
      <c r="A6" s="16" t="s">
        <v>839</v>
      </c>
      <c r="B6" s="16"/>
      <c r="C6" s="16"/>
      <c r="D6" s="16"/>
      <c r="E6" s="16"/>
      <c r="F6" s="16"/>
    </row>
    <row r="7" spans="1:7" ht="19.2" x14ac:dyDescent="0.5">
      <c r="A7" s="6" t="s">
        <v>827</v>
      </c>
      <c r="B7" s="6" t="s">
        <v>828</v>
      </c>
      <c r="C7" s="6" t="s">
        <v>834</v>
      </c>
      <c r="D7" s="6" t="s">
        <v>836</v>
      </c>
      <c r="E7" s="6" t="s">
        <v>837</v>
      </c>
      <c r="F7" s="6" t="s">
        <v>838</v>
      </c>
    </row>
    <row r="8" spans="1:7" x14ac:dyDescent="0.5">
      <c r="A8" s="7" t="s">
        <v>28</v>
      </c>
      <c r="B8" s="10">
        <f>GETPIVOTDATA("Sum of New Budget",$A$3)</f>
        <v>19673793</v>
      </c>
      <c r="C8" s="10">
        <f>$E$14+$F$14</f>
        <v>3531629.3099999991</v>
      </c>
      <c r="D8" s="10">
        <f>GETPIVOTDATA("Amount",$A$28,"income_class","New")</f>
        <v>827822</v>
      </c>
      <c r="E8" s="9">
        <f>$C$8/$B$8</f>
        <v>0.17950932542596129</v>
      </c>
      <c r="F8" s="9">
        <f>$D$8/$B$8</f>
        <v>4.2077397073355401E-2</v>
      </c>
    </row>
    <row r="9" spans="1:7" x14ac:dyDescent="0.5">
      <c r="A9" s="7" t="s">
        <v>66</v>
      </c>
      <c r="B9" s="10">
        <f>GETPIVOTDATA("Sum of Cross sell bugdet",$A$3)</f>
        <v>20083111</v>
      </c>
      <c r="C9" s="10">
        <f>$E$15+$F$15</f>
        <v>11864802.119999994</v>
      </c>
      <c r="D9" s="10">
        <f>GETPIVOTDATA("Amount",$A$28,"income_class","Cross Sell")</f>
        <v>3040813</v>
      </c>
      <c r="E9" s="9">
        <f>$C$9/$B$9</f>
        <v>0.59078506910607598</v>
      </c>
      <c r="F9" s="9">
        <f>$D$9/$B$9</f>
        <v>0.15141145214005938</v>
      </c>
    </row>
    <row r="10" spans="1:7" x14ac:dyDescent="0.5">
      <c r="A10" s="7" t="s">
        <v>23</v>
      </c>
      <c r="B10" s="10">
        <f>GETPIVOTDATA("Sum of Renewal Budget",$A$3)</f>
        <v>12319455</v>
      </c>
      <c r="C10" s="10">
        <f>$E$16+$F$16</f>
        <v>18493109.900000013</v>
      </c>
      <c r="D10" s="10">
        <f>GETPIVOTDATA("Amount",$A$28,"income_class","Renewal")</f>
        <v>8394071</v>
      </c>
      <c r="E10" s="9">
        <f>$C$10/$B$10</f>
        <v>1.5011305207900847</v>
      </c>
      <c r="F10" s="9">
        <f>$D$10/$B$10</f>
        <v>0.68136707346225944</v>
      </c>
    </row>
    <row r="13" spans="1:7" ht="19.2" x14ac:dyDescent="0.5">
      <c r="A13" s="14" t="s">
        <v>830</v>
      </c>
      <c r="B13" s="14"/>
      <c r="D13" s="6" t="s">
        <v>833</v>
      </c>
      <c r="E13" s="6" t="s">
        <v>24</v>
      </c>
      <c r="F13" s="6" t="s">
        <v>560</v>
      </c>
      <c r="G13" s="6" t="s">
        <v>834</v>
      </c>
    </row>
    <row r="14" spans="1:7" x14ac:dyDescent="0.5">
      <c r="A14" s="3" t="s">
        <v>818</v>
      </c>
      <c r="B14" t="s">
        <v>829</v>
      </c>
      <c r="D14" s="7" t="s">
        <v>28</v>
      </c>
      <c r="E14" s="8">
        <f>GETPIVOTDATA("Amount",$A$14,"income_class","New")</f>
        <v>3431629.3099999991</v>
      </c>
      <c r="F14" s="8">
        <f>GETPIVOTDATA("Amount",$A$21,"income_class","New")</f>
        <v>100000</v>
      </c>
      <c r="G14" s="8">
        <f>$E$14+$F$14</f>
        <v>3531629.3099999991</v>
      </c>
    </row>
    <row r="15" spans="1:7" x14ac:dyDescent="0.5">
      <c r="A15" s="4" t="s">
        <v>66</v>
      </c>
      <c r="B15" s="2">
        <v>11468322.119999994</v>
      </c>
      <c r="D15" s="7" t="s">
        <v>66</v>
      </c>
      <c r="E15" s="8">
        <f>GETPIVOTDATA("Amount",$A$14,"income_class","Cross Sell")</f>
        <v>11468322.119999994</v>
      </c>
      <c r="F15" s="8">
        <f>GETPIVOTDATA("Amount",$A$21,"income_class","Cross Sell")</f>
        <v>396480</v>
      </c>
      <c r="G15" s="8">
        <f>$E$15+$F$15</f>
        <v>11864802.119999994</v>
      </c>
    </row>
    <row r="16" spans="1:7" x14ac:dyDescent="0.5">
      <c r="A16" s="4" t="s">
        <v>28</v>
      </c>
      <c r="B16" s="2">
        <v>3431629.3099999991</v>
      </c>
      <c r="D16" s="7" t="s">
        <v>23</v>
      </c>
      <c r="E16" s="8">
        <f>GETPIVOTDATA("Amount",$A$14,"income_class","Renewal")</f>
        <v>18475058.900000013</v>
      </c>
      <c r="F16" s="8">
        <f>GETPIVOTDATA("Amount",$A$21,"income_class","Renewal")</f>
        <v>18051</v>
      </c>
      <c r="G16" s="8">
        <f>$E$16+$F$16</f>
        <v>18493109.900000013</v>
      </c>
    </row>
    <row r="17" spans="1:2" x14ac:dyDescent="0.5">
      <c r="A17" s="4" t="s">
        <v>23</v>
      </c>
      <c r="B17" s="2">
        <v>18475058.900000013</v>
      </c>
    </row>
    <row r="18" spans="1:2" x14ac:dyDescent="0.5">
      <c r="A18" s="4" t="s">
        <v>819</v>
      </c>
      <c r="B18" s="2">
        <v>33375010.330000006</v>
      </c>
    </row>
    <row r="20" spans="1:2" ht="19.2" x14ac:dyDescent="0.5">
      <c r="A20" s="14" t="s">
        <v>831</v>
      </c>
      <c r="B20" s="14"/>
    </row>
    <row r="21" spans="1:2" x14ac:dyDescent="0.5">
      <c r="A21" s="3" t="s">
        <v>818</v>
      </c>
      <c r="B21" t="s">
        <v>829</v>
      </c>
    </row>
    <row r="22" spans="1:2" x14ac:dyDescent="0.5">
      <c r="A22" s="4" t="s">
        <v>66</v>
      </c>
      <c r="B22" s="2">
        <v>396480</v>
      </c>
    </row>
    <row r="23" spans="1:2" x14ac:dyDescent="0.5">
      <c r="A23" s="4" t="s">
        <v>28</v>
      </c>
      <c r="B23" s="2">
        <v>100000</v>
      </c>
    </row>
    <row r="24" spans="1:2" x14ac:dyDescent="0.5">
      <c r="A24" s="4" t="s">
        <v>23</v>
      </c>
      <c r="B24" s="2">
        <v>18051</v>
      </c>
    </row>
    <row r="25" spans="1:2" x14ac:dyDescent="0.5">
      <c r="A25" s="4" t="s">
        <v>819</v>
      </c>
      <c r="B25" s="2">
        <v>514531</v>
      </c>
    </row>
    <row r="27" spans="1:2" ht="19.2" x14ac:dyDescent="0.5">
      <c r="A27" s="14" t="s">
        <v>835</v>
      </c>
      <c r="B27" s="14"/>
    </row>
    <row r="28" spans="1:2" x14ac:dyDescent="0.5">
      <c r="A28" s="3" t="s">
        <v>818</v>
      </c>
      <c r="B28" t="s">
        <v>829</v>
      </c>
    </row>
    <row r="29" spans="1:2" x14ac:dyDescent="0.5">
      <c r="A29" s="4" t="s">
        <v>66</v>
      </c>
      <c r="B29" s="2">
        <v>3040813</v>
      </c>
    </row>
    <row r="30" spans="1:2" x14ac:dyDescent="0.5">
      <c r="A30" s="4" t="s">
        <v>28</v>
      </c>
      <c r="B30" s="2">
        <v>827822</v>
      </c>
    </row>
    <row r="31" spans="1:2" x14ac:dyDescent="0.5">
      <c r="A31" s="4" t="s">
        <v>23</v>
      </c>
      <c r="B31" s="2">
        <v>8394071</v>
      </c>
    </row>
    <row r="32" spans="1:2" x14ac:dyDescent="0.5">
      <c r="A32" s="4" t="s">
        <v>819</v>
      </c>
      <c r="B32" s="2">
        <v>12262706</v>
      </c>
    </row>
  </sheetData>
  <mergeCells count="5">
    <mergeCell ref="A13:B13"/>
    <mergeCell ref="A20:B20"/>
    <mergeCell ref="A2:C2"/>
    <mergeCell ref="A27:B27"/>
    <mergeCell ref="A6:F6"/>
  </mergeCells>
  <pageMargins left="0.7" right="0.7" top="0.75" bottom="0.75" header="0.3" footer="0.3"/>
  <pageSetup orientation="portrait" r:id="rId5"/>
  <drawing r:id="rId6"/>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3434CD-8C3D-494F-A794-DA539B466CF4}">
  <dimension ref="A2:B12"/>
  <sheetViews>
    <sheetView zoomScale="115" zoomScaleNormal="115" workbookViewId="0">
      <selection activeCell="B3" sqref="B3"/>
    </sheetView>
  </sheetViews>
  <sheetFormatPr defaultRowHeight="18" x14ac:dyDescent="0.5"/>
  <cols>
    <col min="1" max="1" width="18.109375" bestFit="1" customWidth="1"/>
    <col min="2" max="3" width="24.6640625" bestFit="1" customWidth="1"/>
    <col min="4" max="4" width="20.33203125" customWidth="1"/>
    <col min="8" max="8" width="22" customWidth="1"/>
    <col min="9" max="9" width="19.88671875" customWidth="1"/>
  </cols>
  <sheetData>
    <row r="2" spans="1:2" x14ac:dyDescent="0.5">
      <c r="A2" s="3" t="s">
        <v>818</v>
      </c>
      <c r="B2" t="s">
        <v>823</v>
      </c>
    </row>
    <row r="3" spans="1:2" x14ac:dyDescent="0.5">
      <c r="A3" s="4" t="s">
        <v>743</v>
      </c>
      <c r="B3" s="5">
        <v>899000</v>
      </c>
    </row>
    <row r="4" spans="1:2" x14ac:dyDescent="0.5">
      <c r="A4" s="4" t="s">
        <v>770</v>
      </c>
      <c r="B4" s="5">
        <v>60000</v>
      </c>
    </row>
    <row r="5" spans="1:2" x14ac:dyDescent="0.5">
      <c r="A5" s="4" t="s">
        <v>699</v>
      </c>
      <c r="B5" s="5">
        <v>5919500</v>
      </c>
    </row>
    <row r="6" spans="1:2" x14ac:dyDescent="0.5">
      <c r="A6" s="4" t="s">
        <v>819</v>
      </c>
      <c r="B6" s="2">
        <v>6878500</v>
      </c>
    </row>
    <row r="9" spans="1:2" x14ac:dyDescent="0.5">
      <c r="A9" s="11" t="s">
        <v>699</v>
      </c>
      <c r="B9" s="12">
        <v>5919500</v>
      </c>
    </row>
    <row r="10" spans="1:2" x14ac:dyDescent="0.5">
      <c r="A10" s="11" t="s">
        <v>743</v>
      </c>
      <c r="B10" s="12">
        <v>899000</v>
      </c>
    </row>
    <row r="11" spans="1:2" x14ac:dyDescent="0.5">
      <c r="A11" s="11" t="s">
        <v>770</v>
      </c>
      <c r="B11" s="12">
        <v>60000</v>
      </c>
    </row>
    <row r="12" spans="1:2" x14ac:dyDescent="0.5">
      <c r="A12" s="4"/>
      <c r="B12" s="5"/>
    </row>
  </sheetData>
  <sortState ref="A10:B12">
    <sortCondition descending="1" ref="B10"/>
  </sortState>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8E627-A731-46C6-9163-240F236362A3}">
  <dimension ref="A1"/>
  <sheetViews>
    <sheetView showGridLines="0" showRowColHeaders="0" tabSelected="1" zoomScaleNormal="100" workbookViewId="0">
      <selection activeCell="AO23" sqref="AO23"/>
    </sheetView>
  </sheetViews>
  <sheetFormatPr defaultRowHeight="18" x14ac:dyDescent="0.5"/>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29158B30-910D-4F3F-B759-873DFA1A45DD}">
  <ds:schemaRefs/>
</ds:datastoreItem>
</file>

<file path=customXml/itemProps2.xml><?xml version="1.0" encoding="utf-8"?>
<ds:datastoreItem xmlns:ds="http://schemas.openxmlformats.org/officeDocument/2006/customXml" ds:itemID="{6615CE76-6AF5-4082-BB9B-64CB1AE1DBF3}">
  <ds:schemaRefs/>
</ds:datastoreItem>
</file>

<file path=customXml/itemProps3.xml><?xml version="1.0" encoding="utf-8"?>
<ds:datastoreItem xmlns:ds="http://schemas.openxmlformats.org/officeDocument/2006/customXml" ds:itemID="{307F2F14-AF9E-490D-9EA8-8B70F11A03A9}">
  <ds:schemaRefs/>
</ds:datastoreItem>
</file>

<file path=customXml/itemProps4.xml><?xml version="1.0" encoding="utf-8"?>
<ds:datastoreItem xmlns:ds="http://schemas.openxmlformats.org/officeDocument/2006/customXml" ds:itemID="{9B174DC7-9DAB-4879-84BC-5BA03494527A}">
  <ds:schemaRefs/>
</ds:datastoreItem>
</file>

<file path=customXml/itemProps5.xml><?xml version="1.0" encoding="utf-8"?>
<ds:datastoreItem xmlns:ds="http://schemas.openxmlformats.org/officeDocument/2006/customXml" ds:itemID="{78E23853-BAF6-4BE9-AE6A-BAC3B457AC6F}">
  <ds:schemaRefs/>
</ds:datastoreItem>
</file>

<file path=customXml/itemProps6.xml><?xml version="1.0" encoding="utf-8"?>
<ds:datastoreItem xmlns:ds="http://schemas.openxmlformats.org/officeDocument/2006/customXml" ds:itemID="{BD161AEA-71FB-4D2C-9175-78B9D3230025}">
  <ds:schemaRefs/>
</ds:datastoreItem>
</file>

<file path=customXml/itemProps7.xml><?xml version="1.0" encoding="utf-8"?>
<ds:datastoreItem xmlns:ds="http://schemas.openxmlformats.org/officeDocument/2006/customXml" ds:itemID="{924EB447-DD10-4478-A581-DECAFA48449F}">
  <ds:schemaRefs/>
</ds:datastoreItem>
</file>

<file path=customXml/itemProps8.xml><?xml version="1.0" encoding="utf-8"?>
<ds:datastoreItem xmlns:ds="http://schemas.openxmlformats.org/officeDocument/2006/customXml" ds:itemID="{309CA657-B2AF-4F6D-9270-8DBD69A4A13E}">
  <ds:schemaRefs/>
</ds:datastoreItem>
</file>

<file path=customXml/itemProps9.xml><?xml version="1.0" encoding="utf-8"?>
<ds:datastoreItem xmlns:ds="http://schemas.openxmlformats.org/officeDocument/2006/customXml" ds:itemID="{53C25690-382E-4156-8142-AC31481ECED7}">
  <ds:schemaRefs/>
</ds:datastoreItem>
</file>

<file path=customXml/itemProps10.xml><?xml version="1.0" encoding="utf-8"?>
<ds:datastoreItem xmlns:ds="http://schemas.openxmlformats.org/officeDocument/2006/customXml" ds:itemID="{37F41BBA-E993-4165-B956-8736E8EC6D1E}">
  <ds:schemaRefs/>
</ds:datastoreItem>
</file>

<file path=customXml/itemProps11.xml><?xml version="1.0" encoding="utf-8"?>
<ds:datastoreItem xmlns:ds="http://schemas.openxmlformats.org/officeDocument/2006/customXml" ds:itemID="{A5E28135-D072-4424-A457-EA2B160AB630}">
  <ds:schemaRefs/>
</ds:datastoreItem>
</file>

<file path=customXml/itemProps12.xml><?xml version="1.0" encoding="utf-8"?>
<ds:datastoreItem xmlns:ds="http://schemas.openxmlformats.org/officeDocument/2006/customXml" ds:itemID="{65CF9AE8-D3E8-4630-96D7-6F484135EE36}">
  <ds:schemaRefs/>
</ds:datastoreItem>
</file>

<file path=customXml/itemProps13.xml><?xml version="1.0" encoding="utf-8"?>
<ds:datastoreItem xmlns:ds="http://schemas.openxmlformats.org/officeDocument/2006/customXml" ds:itemID="{2EE9E98C-2D6A-416F-8AED-448087185291}">
  <ds:schemaRefs/>
</ds:datastoreItem>
</file>

<file path=customXml/itemProps14.xml><?xml version="1.0" encoding="utf-8"?>
<ds:datastoreItem xmlns:ds="http://schemas.openxmlformats.org/officeDocument/2006/customXml" ds:itemID="{4FE96DEF-05D6-45B1-ADB2-4AD22C8AAF8F}">
  <ds:schemaRefs>
    <ds:schemaRef ds:uri="http://schemas.microsoft.com/DataMashup"/>
  </ds:schemaRefs>
</ds:datastoreItem>
</file>

<file path=customXml/itemProps15.xml><?xml version="1.0" encoding="utf-8"?>
<ds:datastoreItem xmlns:ds="http://schemas.openxmlformats.org/officeDocument/2006/customXml" ds:itemID="{8623F17F-7B87-476A-A362-556187E40524}">
  <ds:schemaRefs/>
</ds:datastoreItem>
</file>

<file path=customXml/itemProps16.xml><?xml version="1.0" encoding="utf-8"?>
<ds:datastoreItem xmlns:ds="http://schemas.openxmlformats.org/officeDocument/2006/customXml" ds:itemID="{D8BDA784-6BAA-422D-9F52-4DBD96496C9B}">
  <ds:schemaRefs/>
</ds:datastoreItem>
</file>

<file path=customXml/itemProps17.xml><?xml version="1.0" encoding="utf-8"?>
<ds:datastoreItem xmlns:ds="http://schemas.openxmlformats.org/officeDocument/2006/customXml" ds:itemID="{56462990-2D6B-499A-BDCE-1D974E6F239E}">
  <ds:schemaRefs/>
</ds:datastoreItem>
</file>

<file path=customXml/itemProps18.xml><?xml version="1.0" encoding="utf-8"?>
<ds:datastoreItem xmlns:ds="http://schemas.openxmlformats.org/officeDocument/2006/customXml" ds:itemID="{48FE3F67-8882-4A5E-9E59-F8236F8C9B1A}">
  <ds:schemaRefs/>
</ds:datastoreItem>
</file>

<file path=customXml/itemProps19.xml><?xml version="1.0" encoding="utf-8"?>
<ds:datastoreItem xmlns:ds="http://schemas.openxmlformats.org/officeDocument/2006/customXml" ds:itemID="{E8415C9C-0EEE-4A74-8C7F-B83F2906ACA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Brokerage</vt:lpstr>
      <vt:lpstr>Fees</vt:lpstr>
      <vt:lpstr>Individual Target</vt:lpstr>
      <vt:lpstr>Invoice</vt:lpstr>
      <vt:lpstr>Meeting</vt:lpstr>
      <vt:lpstr>Opportunity</vt:lpstr>
      <vt:lpstr>No of Invoice by Accnt Exec</vt:lpstr>
      <vt:lpstr>Opportunity Product Distirbutio</vt:lpstr>
      <vt:lpstr>Yearly Meeting Count</vt:lpstr>
      <vt:lpstr>No of meeting By Account Exe</vt:lpstr>
      <vt:lpstr>Top Open Opportunity</vt:lpstr>
      <vt:lpstr>KPI 3</vt:lpstr>
      <vt:lpstr>Stage Funnel by Revenue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2025-08-04T06:55:06Z</dcterms:created>
  <dcterms:modified xsi:type="dcterms:W3CDTF">2025-08-06T05:55:32Z</dcterms:modified>
</cp:coreProperties>
</file>